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960FE24-EDDF-48E6-90CA-2FBA8DBEFD0D}" xr6:coauthVersionLast="47" xr6:coauthVersionMax="47" xr10:uidLastSave="{00000000-0000-0000-0000-000000000000}"/>
  <bookViews>
    <workbookView xWindow="-110" yWindow="-110" windowWidth="19420" windowHeight="10300" xr2:uid="{99FFB46B-7402-4841-8C52-3B94A188C64B}"/>
  </bookViews>
  <sheets>
    <sheet name="Data Cleaning " sheetId="4" r:id="rId1"/>
    <sheet name="Dataset Imputation " sheetId="3" state="hidden" r:id="rId2"/>
  </sheets>
  <definedNames>
    <definedName name="_xlnm._FilterDatabase" localSheetId="0" hidden="1">'Data Cleaning '!$A$1:$I$13</definedName>
    <definedName name="_xlnm._FilterDatabase" localSheetId="1" hidden="1">'Dataset Imputation '!$A$1:$K$14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4" l="1" a="1"/>
  <c r="C18" i="4" s="1"/>
  <c r="D18" i="4"/>
  <c r="K19" i="4"/>
  <c r="H20" i="4"/>
  <c r="H21" i="4"/>
  <c r="H22" i="4"/>
  <c r="H23" i="4"/>
  <c r="H24" i="4"/>
  <c r="H25" i="4"/>
  <c r="H26" i="4"/>
  <c r="H27" i="4"/>
  <c r="H28" i="4"/>
  <c r="H19" i="4"/>
  <c r="G17" i="4" a="1"/>
  <c r="G17" i="4" s="1"/>
  <c r="Q6" i="4"/>
  <c r="R6" i="4" s="1"/>
  <c r="Q3" i="4"/>
  <c r="R3" i="4" s="1"/>
  <c r="Q4" i="4"/>
  <c r="R4" i="4" s="1"/>
  <c r="Q5" i="4"/>
  <c r="R5" i="4" s="1"/>
  <c r="Q7" i="4"/>
  <c r="R7" i="4" s="1"/>
  <c r="Q8" i="4"/>
  <c r="R8" i="4" s="1"/>
  <c r="Q9" i="4"/>
  <c r="R9" i="4" s="1"/>
  <c r="Q10" i="4"/>
  <c r="R10" i="4" s="1"/>
  <c r="Q11" i="4"/>
  <c r="R11" i="4" s="1"/>
  <c r="Q12" i="4"/>
  <c r="R12" i="4" s="1"/>
  <c r="Q13" i="4"/>
  <c r="R13" i="4" s="1"/>
  <c r="Q2" i="4"/>
  <c r="R2" i="4" s="1"/>
  <c r="P3" i="4"/>
  <c r="P4" i="4"/>
  <c r="P5" i="4"/>
  <c r="P6" i="4"/>
  <c r="P7" i="4"/>
  <c r="P8" i="4"/>
  <c r="P9" i="4"/>
  <c r="P10" i="4"/>
  <c r="P11" i="4"/>
  <c r="P12" i="4"/>
  <c r="P13" i="4"/>
  <c r="P2" i="4"/>
  <c r="N2" i="4"/>
  <c r="O3" i="4"/>
  <c r="O4" i="4"/>
  <c r="O5" i="4"/>
  <c r="O6" i="4"/>
  <c r="O7" i="4"/>
  <c r="O8" i="4"/>
  <c r="O9" i="4"/>
  <c r="O10" i="4"/>
  <c r="O11" i="4"/>
  <c r="O12" i="4"/>
  <c r="O13" i="4"/>
  <c r="O2" i="4"/>
  <c r="N3" i="4"/>
  <c r="N4" i="4"/>
  <c r="N5" i="4"/>
  <c r="N6" i="4"/>
  <c r="N7" i="4"/>
  <c r="N8" i="4"/>
  <c r="N9" i="4"/>
  <c r="N10" i="4"/>
  <c r="N11" i="4"/>
  <c r="N12" i="4"/>
  <c r="N13" i="4"/>
  <c r="M3" i="4"/>
  <c r="M4" i="4"/>
  <c r="M5" i="4"/>
  <c r="M6" i="4"/>
  <c r="M7" i="4"/>
  <c r="M8" i="4"/>
  <c r="M9" i="4"/>
  <c r="M10" i="4"/>
  <c r="M11" i="4"/>
  <c r="M12" i="4"/>
  <c r="M13" i="4"/>
  <c r="L2" i="4"/>
  <c r="M2" i="4" s="1"/>
  <c r="J3" i="4"/>
  <c r="J4" i="4"/>
  <c r="J5" i="4"/>
  <c r="J6" i="4"/>
  <c r="J7" i="4"/>
  <c r="J8" i="4"/>
  <c r="J9" i="4"/>
  <c r="J10" i="4"/>
  <c r="J11" i="4"/>
  <c r="J12" i="4"/>
  <c r="J13" i="4"/>
  <c r="J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<sst xmlns="http://schemas.openxmlformats.org/spreadsheetml/2006/main" count="231" uniqueCount="105">
  <si>
    <t>Admission ID</t>
  </si>
  <si>
    <t>Name</t>
  </si>
  <si>
    <t>School Branch</t>
  </si>
  <si>
    <t>Enrolled Class</t>
  </si>
  <si>
    <t>Age</t>
  </si>
  <si>
    <t>Admission Test Score</t>
  </si>
  <si>
    <t>Rahul</t>
  </si>
  <si>
    <t>Velachery</t>
  </si>
  <si>
    <t>Class XII</t>
  </si>
  <si>
    <t>Priya</t>
  </si>
  <si>
    <t>Anna Nagar</t>
  </si>
  <si>
    <t>Class X</t>
  </si>
  <si>
    <t>Rohan</t>
  </si>
  <si>
    <t>Tambaram</t>
  </si>
  <si>
    <t>Class XI</t>
  </si>
  <si>
    <t>Nisha</t>
  </si>
  <si>
    <t>T. Nagar</t>
  </si>
  <si>
    <t>Akash</t>
  </si>
  <si>
    <t>Neha</t>
  </si>
  <si>
    <t>Ananya</t>
  </si>
  <si>
    <t>Karthik</t>
  </si>
  <si>
    <t>Siddharth</t>
  </si>
  <si>
    <t>Riya</t>
  </si>
  <si>
    <t>Aarav</t>
  </si>
  <si>
    <t>05-JAN-1346</t>
  </si>
  <si>
    <t>08-JAN-1347</t>
  </si>
  <si>
    <t>12-JAN-1348</t>
  </si>
  <si>
    <t>15-JAN-1349</t>
  </si>
  <si>
    <t>19-JAN-1350</t>
  </si>
  <si>
    <t>22-JAN-1351</t>
  </si>
  <si>
    <t>25-JAN-1352</t>
  </si>
  <si>
    <t>29-JAN-1353</t>
  </si>
  <si>
    <t>01-FEB-1354</t>
  </si>
  <si>
    <t>10-FEB-1356</t>
  </si>
  <si>
    <t>14-FEB-1357</t>
  </si>
  <si>
    <t>15-FEB-1358</t>
  </si>
  <si>
    <t xml:space="preserve">IS BLANK AGE </t>
  </si>
  <si>
    <t xml:space="preserve">Age-Imputed </t>
  </si>
  <si>
    <t xml:space="preserve">Branch - Imputed </t>
  </si>
  <si>
    <t>COUNTBLANK- AGE</t>
  </si>
  <si>
    <t>COUNTBLANK_Score</t>
  </si>
  <si>
    <t>IMPUTATION :</t>
  </si>
  <si>
    <t>Numeric :</t>
  </si>
  <si>
    <t>Average</t>
  </si>
  <si>
    <t>Median</t>
  </si>
  <si>
    <t xml:space="preserve">Categorical : </t>
  </si>
  <si>
    <t>Mode</t>
  </si>
  <si>
    <t>Own Category</t>
  </si>
  <si>
    <t>06-FEB-1355</t>
  </si>
  <si>
    <t xml:space="preserve">COUNTBLANK - school branch </t>
  </si>
  <si>
    <t>Ishaan</t>
  </si>
  <si>
    <t xml:space="preserve">Round Up  </t>
  </si>
  <si>
    <t>Average Age</t>
  </si>
  <si>
    <t>David</t>
  </si>
  <si>
    <t>Scholarship</t>
  </si>
  <si>
    <t>Fee Paid</t>
  </si>
  <si>
    <t>_x0007_19-JAN-1346</t>
  </si>
  <si>
    <t xml:space="preserve">      Rahul</t>
  </si>
  <si>
    <t xml:space="preserve">Class XII </t>
  </si>
  <si>
    <t>Rs. 101800</t>
  </si>
  <si>
    <t>_x0006_08-JAN-1347</t>
  </si>
  <si>
    <t>Rs. 81100</t>
  </si>
  <si>
    <t xml:space="preserve">      Rohan</t>
  </si>
  <si>
    <t>Rs. 92200</t>
  </si>
  <si>
    <t>Rs. 100900</t>
  </si>
  <si>
    <t>Akash   Kumar</t>
  </si>
  <si>
    <t>Rs. 91500</t>
  </si>
  <si>
    <t xml:space="preserve">         Neha</t>
  </si>
  <si>
    <t>Rs. 80700</t>
  </si>
  <si>
    <t>Rs. 102000</t>
  </si>
  <si>
    <t>_x0003_29-JAN-1353_x0005_</t>
  </si>
  <si>
    <t xml:space="preserve">           Karthik</t>
  </si>
  <si>
    <t>Rs. 91400</t>
  </si>
  <si>
    <t>04-FEB-1354</t>
  </si>
  <si>
    <t xml:space="preserve">         Siddharth</t>
  </si>
  <si>
    <t>Rs. 89000</t>
  </si>
  <si>
    <t xml:space="preserve">  Riya</t>
  </si>
  <si>
    <t>Rs. 102300</t>
  </si>
  <si>
    <t>08-FEB-1356</t>
  </si>
  <si>
    <t xml:space="preserve">Class XI </t>
  </si>
  <si>
    <t>Rs. 95000</t>
  </si>
  <si>
    <t xml:space="preserve">     Ishaan</t>
  </si>
  <si>
    <t>Rs. 81600</t>
  </si>
  <si>
    <t>19-JAN-1346</t>
  </si>
  <si>
    <t xml:space="preserve">Admission ID </t>
  </si>
  <si>
    <t xml:space="preserve">Name Cleaned </t>
  </si>
  <si>
    <t>Annaan Nagar</t>
  </si>
  <si>
    <t>Tamabaram</t>
  </si>
  <si>
    <t xml:space="preserve">It is called as non prinitable functions </t>
  </si>
  <si>
    <t xml:space="preserve">Admission Date Cleaned </t>
  </si>
  <si>
    <t xml:space="preserve">Admission Date and Month </t>
  </si>
  <si>
    <t xml:space="preserve">Enrollement Details </t>
  </si>
  <si>
    <t xml:space="preserve">Operator &amp; </t>
  </si>
  <si>
    <t xml:space="preserve">Name Length </t>
  </si>
  <si>
    <t xml:space="preserve">Trailing Space </t>
  </si>
  <si>
    <t xml:space="preserve">Leading Space </t>
  </si>
  <si>
    <t xml:space="preserve">Standadization </t>
  </si>
  <si>
    <t>Rs.</t>
  </si>
  <si>
    <t>JAN</t>
  </si>
  <si>
    <t>FEB</t>
  </si>
  <si>
    <t>1353_x0005_</t>
  </si>
  <si>
    <t>Space</t>
  </si>
  <si>
    <t>functions</t>
  </si>
  <si>
    <t xml:space="preserve">FLASH FILL 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</si>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</sst>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CEB99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2" fillId="0" borderId="0" xfId="1"/>
    <xf numFmtId="0" fontId="0" fillId="0" borderId="0" xfId="0" applyAlignment="1">
      <alignment horizontal="right"/>
    </xf>
    <xf numFmtId="16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44" fontId="0" fillId="8" borderId="7" xfId="2" applyFont="1" applyFill="1" applyBorder="1" applyAlignment="1">
      <alignment horizontal="left"/>
    </xf>
    <xf numFmtId="44" fontId="0" fillId="9" borderId="3" xfId="2" applyFont="1" applyFill="1" applyBorder="1" applyAlignment="1">
      <alignment horizontal="left"/>
    </xf>
    <xf numFmtId="44" fontId="0" fillId="8" borderId="3" xfId="2" applyFont="1" applyFill="1" applyBorder="1" applyAlignment="1">
      <alignment horizontal="left"/>
    </xf>
    <xf numFmtId="44" fontId="0" fillId="8" borderId="2" xfId="2" applyFont="1" applyFill="1" applyBorder="1" applyAlignment="1">
      <alignment horizontal="left"/>
    </xf>
    <xf numFmtId="0" fontId="1" fillId="7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8" borderId="9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8" xfId="0" applyFill="1" applyBorder="1" applyAlignment="1">
      <alignment horizontal="left"/>
    </xf>
    <xf numFmtId="44" fontId="0" fillId="8" borderId="0" xfId="2" applyFont="1" applyFill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8" borderId="1" xfId="0" applyFill="1" applyBorder="1" applyAlignment="1">
      <alignment horizontal="center"/>
    </xf>
    <xf numFmtId="44" fontId="0" fillId="8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44" fontId="0" fillId="9" borderId="1" xfId="2" applyFont="1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1" defaultTableStyle="TableStyleMedium2" defaultPivotStyle="PivotStyleLight16">
    <tableStyle name="Table Style 1" pivot="0" count="0" xr9:uid="{2E887970-9019-4470-AEA4-EECA4626CF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8D9E-CFED-43AD-8DA7-91C5BEDC5075}">
  <dimension ref="A1:Y30"/>
  <sheetViews>
    <sheetView tabSelected="1" topLeftCell="I1" zoomScale="95" zoomScaleNormal="325" workbookViewId="0">
      <selection activeCell="O17" sqref="O17"/>
    </sheetView>
  </sheetViews>
  <sheetFormatPr defaultRowHeight="14.5" x14ac:dyDescent="0.35"/>
  <cols>
    <col min="1" max="2" width="13.6328125" customWidth="1"/>
    <col min="3" max="3" width="13.08984375" bestFit="1" customWidth="1"/>
    <col min="4" max="4" width="14.453125" customWidth="1"/>
    <col min="5" max="5" width="14.1796875" customWidth="1"/>
    <col min="6" max="6" width="5.90625" customWidth="1"/>
    <col min="7" max="7" width="20.36328125" customWidth="1"/>
    <col min="8" max="8" width="12.26953125" customWidth="1"/>
    <col min="9" max="9" width="9.81640625" customWidth="1"/>
    <col min="10" max="10" width="21.26953125" customWidth="1"/>
    <col min="11" max="11" width="24.453125" bestFit="1" customWidth="1"/>
    <col min="12" max="12" width="18" bestFit="1" customWidth="1"/>
    <col min="13" max="13" width="13.453125" bestFit="1" customWidth="1"/>
    <col min="14" max="15" width="20" bestFit="1" customWidth="1"/>
    <col min="16" max="16" width="12.26953125" bestFit="1" customWidth="1"/>
    <col min="17" max="17" width="13.453125" bestFit="1" customWidth="1"/>
    <col min="18" max="18" width="12.26953125" bestFit="1" customWidth="1"/>
    <col min="19" max="19" width="10.6328125" bestFit="1" customWidth="1"/>
    <col min="25" max="25" width="11.1796875" bestFit="1" customWidth="1"/>
  </cols>
  <sheetData>
    <row r="1" spans="1:25" ht="15" thickBot="1" x14ac:dyDescent="0.4">
      <c r="A1" s="15" t="s">
        <v>0</v>
      </c>
      <c r="B1" s="23"/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54</v>
      </c>
      <c r="I1" s="17" t="s">
        <v>55</v>
      </c>
      <c r="J1" s="18" t="s">
        <v>89</v>
      </c>
      <c r="K1" s="18" t="s">
        <v>90</v>
      </c>
      <c r="L1" s="18" t="s">
        <v>84</v>
      </c>
      <c r="M1" s="18" t="s">
        <v>84</v>
      </c>
      <c r="N1" s="18" t="s">
        <v>91</v>
      </c>
      <c r="O1" s="18" t="s">
        <v>92</v>
      </c>
      <c r="P1" s="18" t="s">
        <v>93</v>
      </c>
      <c r="Q1" s="18" t="s">
        <v>85</v>
      </c>
      <c r="R1" s="18" t="s">
        <v>93</v>
      </c>
      <c r="S1" s="17" t="s">
        <v>55</v>
      </c>
      <c r="T1" s="29" t="s">
        <v>103</v>
      </c>
      <c r="U1" s="30"/>
      <c r="V1" s="30"/>
      <c r="W1" s="30"/>
      <c r="X1" s="30"/>
      <c r="Y1" s="30"/>
    </row>
    <row r="2" spans="1:25" ht="15" thickTop="1" x14ac:dyDescent="0.35">
      <c r="A2" s="31" t="s">
        <v>56</v>
      </c>
      <c r="B2" s="31">
        <v>1346</v>
      </c>
      <c r="C2" s="31" t="s">
        <v>57</v>
      </c>
      <c r="D2" s="31" t="s">
        <v>7</v>
      </c>
      <c r="E2" s="31" t="s">
        <v>58</v>
      </c>
      <c r="F2" s="31">
        <v>17</v>
      </c>
      <c r="G2" s="31">
        <v>82</v>
      </c>
      <c r="H2" s="31">
        <v>8200</v>
      </c>
      <c r="I2" s="32" t="s">
        <v>59</v>
      </c>
      <c r="J2" s="33" t="str">
        <f t="shared" ref="J2:J13" si="0">CLEAN(A2)</f>
        <v>19-JAN-1346</v>
      </c>
      <c r="K2" s="12">
        <v>45676</v>
      </c>
      <c r="L2" s="11">
        <f>-1346</f>
        <v>-1346</v>
      </c>
      <c r="M2" t="str">
        <f>SUBSTITUTE(L2,"-","")</f>
        <v>1346</v>
      </c>
      <c r="N2" t="str">
        <f t="shared" ref="N2:N13" si="1">CONCATENATE(D2," - ",E2)</f>
        <v xml:space="preserve">Velachery - Class XII </v>
      </c>
      <c r="O2" t="str">
        <f t="shared" ref="O2:O13" si="2">D2&amp;" - "&amp;E2</f>
        <v xml:space="preserve">Velachery - Class XII </v>
      </c>
      <c r="P2">
        <f t="shared" ref="P2:P13" si="3">LEN(C2)</f>
        <v>11</v>
      </c>
      <c r="Q2" t="str">
        <f t="shared" ref="Q2:Q13" si="4">TRIM(C2)</f>
        <v>Rahul</v>
      </c>
      <c r="R2">
        <f>LEN(Q2)</f>
        <v>5</v>
      </c>
      <c r="S2" s="19" t="s">
        <v>59</v>
      </c>
      <c r="T2">
        <v>101800</v>
      </c>
      <c r="U2" t="s">
        <v>97</v>
      </c>
      <c r="V2" t="s">
        <v>98</v>
      </c>
      <c r="W2">
        <v>1346</v>
      </c>
      <c r="X2">
        <v>19</v>
      </c>
      <c r="Y2" t="s">
        <v>83</v>
      </c>
    </row>
    <row r="3" spans="1:25" x14ac:dyDescent="0.35">
      <c r="A3" s="34" t="s">
        <v>60</v>
      </c>
      <c r="B3" s="34">
        <v>1347</v>
      </c>
      <c r="C3" s="34" t="s">
        <v>9</v>
      </c>
      <c r="D3" s="34" t="s">
        <v>86</v>
      </c>
      <c r="E3" s="34" t="s">
        <v>11</v>
      </c>
      <c r="F3" s="34">
        <v>14</v>
      </c>
      <c r="G3" s="34">
        <v>89</v>
      </c>
      <c r="H3" s="34">
        <v>8900</v>
      </c>
      <c r="I3" s="35" t="s">
        <v>61</v>
      </c>
      <c r="J3" s="33" t="str">
        <f t="shared" si="0"/>
        <v>08-JAN-1347</v>
      </c>
      <c r="K3" s="12">
        <v>45665</v>
      </c>
      <c r="L3" s="11">
        <v>-1347</v>
      </c>
      <c r="M3" t="str">
        <f t="shared" ref="M3:M13" si="5">SUBSTITUTE(L3,"-","")</f>
        <v>1347</v>
      </c>
      <c r="N3" t="str">
        <f t="shared" si="1"/>
        <v>Annaan Nagar - Class X</v>
      </c>
      <c r="O3" t="str">
        <f t="shared" si="2"/>
        <v>Annaan Nagar - Class X</v>
      </c>
      <c r="P3">
        <f t="shared" si="3"/>
        <v>5</v>
      </c>
      <c r="Q3" t="str">
        <f t="shared" si="4"/>
        <v>Priya</v>
      </c>
      <c r="R3">
        <f t="shared" ref="R3:R13" si="6">LEN(Q3)</f>
        <v>5</v>
      </c>
      <c r="S3" s="20" t="s">
        <v>61</v>
      </c>
      <c r="T3">
        <v>81100</v>
      </c>
      <c r="U3" t="s">
        <v>97</v>
      </c>
      <c r="V3" t="s">
        <v>98</v>
      </c>
      <c r="W3">
        <v>1347</v>
      </c>
      <c r="X3">
        <v>8</v>
      </c>
      <c r="Y3" t="s">
        <v>25</v>
      </c>
    </row>
    <row r="4" spans="1:25" x14ac:dyDescent="0.35">
      <c r="A4" s="31" t="s">
        <v>26</v>
      </c>
      <c r="B4" s="31">
        <v>1348</v>
      </c>
      <c r="C4" s="31" t="s">
        <v>62</v>
      </c>
      <c r="D4" s="31" t="s">
        <v>13</v>
      </c>
      <c r="E4" s="31" t="s">
        <v>14</v>
      </c>
      <c r="F4" s="31">
        <v>16</v>
      </c>
      <c r="G4" s="31">
        <v>78</v>
      </c>
      <c r="H4" s="31">
        <v>7800</v>
      </c>
      <c r="I4" s="32" t="s">
        <v>63</v>
      </c>
      <c r="J4" s="33" t="str">
        <f t="shared" si="0"/>
        <v>12-JAN-1348</v>
      </c>
      <c r="K4" s="12">
        <v>45669</v>
      </c>
      <c r="L4" s="11">
        <v>-1348</v>
      </c>
      <c r="M4" t="str">
        <f t="shared" si="5"/>
        <v>1348</v>
      </c>
      <c r="N4" t="str">
        <f t="shared" si="1"/>
        <v>Tambaram - Class XI</v>
      </c>
      <c r="O4" t="str">
        <f t="shared" si="2"/>
        <v>Tambaram - Class XI</v>
      </c>
      <c r="P4">
        <f t="shared" si="3"/>
        <v>11</v>
      </c>
      <c r="Q4" t="str">
        <f t="shared" si="4"/>
        <v>Rohan</v>
      </c>
      <c r="R4">
        <f t="shared" si="6"/>
        <v>5</v>
      </c>
      <c r="S4" s="21" t="s">
        <v>63</v>
      </c>
      <c r="T4">
        <v>92200</v>
      </c>
      <c r="U4" t="s">
        <v>97</v>
      </c>
      <c r="V4" t="s">
        <v>98</v>
      </c>
      <c r="W4">
        <v>1348</v>
      </c>
      <c r="X4">
        <v>12</v>
      </c>
      <c r="Y4" t="s">
        <v>26</v>
      </c>
    </row>
    <row r="5" spans="1:25" x14ac:dyDescent="0.35">
      <c r="A5" s="34" t="s">
        <v>27</v>
      </c>
      <c r="B5" s="34">
        <v>1349</v>
      </c>
      <c r="C5" s="34" t="s">
        <v>15</v>
      </c>
      <c r="D5" s="34" t="s">
        <v>16</v>
      </c>
      <c r="E5" s="34" t="s">
        <v>8</v>
      </c>
      <c r="F5" s="34">
        <v>18</v>
      </c>
      <c r="G5" s="34">
        <v>91</v>
      </c>
      <c r="H5" s="34">
        <v>9100</v>
      </c>
      <c r="I5" s="35" t="s">
        <v>64</v>
      </c>
      <c r="J5" s="33" t="str">
        <f t="shared" si="0"/>
        <v>15-JAN-1349</v>
      </c>
      <c r="K5" s="12">
        <v>45672</v>
      </c>
      <c r="L5" s="11">
        <v>-1349</v>
      </c>
      <c r="M5" t="str">
        <f t="shared" si="5"/>
        <v>1349</v>
      </c>
      <c r="N5" t="str">
        <f t="shared" si="1"/>
        <v>T. Nagar - Class XII</v>
      </c>
      <c r="O5" t="str">
        <f t="shared" si="2"/>
        <v>T. Nagar - Class XII</v>
      </c>
      <c r="P5">
        <f t="shared" si="3"/>
        <v>5</v>
      </c>
      <c r="Q5" t="str">
        <f t="shared" si="4"/>
        <v>Nisha</v>
      </c>
      <c r="R5">
        <f t="shared" si="6"/>
        <v>5</v>
      </c>
      <c r="S5" s="20" t="s">
        <v>64</v>
      </c>
      <c r="T5">
        <v>100900</v>
      </c>
      <c r="U5" t="s">
        <v>97</v>
      </c>
      <c r="V5" t="s">
        <v>98</v>
      </c>
      <c r="W5">
        <v>1349</v>
      </c>
      <c r="X5">
        <v>15</v>
      </c>
      <c r="Y5" t="s">
        <v>27</v>
      </c>
    </row>
    <row r="6" spans="1:25" x14ac:dyDescent="0.35">
      <c r="A6" s="31" t="s">
        <v>28</v>
      </c>
      <c r="B6" s="31">
        <v>1350</v>
      </c>
      <c r="C6" s="31" t="s">
        <v>65</v>
      </c>
      <c r="D6" s="31" t="s">
        <v>7</v>
      </c>
      <c r="E6" s="31" t="s">
        <v>14</v>
      </c>
      <c r="F6" s="31">
        <v>17</v>
      </c>
      <c r="G6" s="31">
        <v>85</v>
      </c>
      <c r="H6" s="31">
        <v>8500</v>
      </c>
      <c r="I6" s="32" t="s">
        <v>66</v>
      </c>
      <c r="J6" s="33" t="str">
        <f t="shared" si="0"/>
        <v>19-JAN-1350</v>
      </c>
      <c r="K6" s="12">
        <v>45676</v>
      </c>
      <c r="L6" s="11">
        <v>-1350</v>
      </c>
      <c r="M6" t="str">
        <f t="shared" si="5"/>
        <v>1350</v>
      </c>
      <c r="N6" t="str">
        <f t="shared" si="1"/>
        <v>Velachery - Class XI</v>
      </c>
      <c r="O6" t="str">
        <f t="shared" si="2"/>
        <v>Velachery - Class XI</v>
      </c>
      <c r="P6">
        <f t="shared" si="3"/>
        <v>13</v>
      </c>
      <c r="Q6" t="str">
        <f t="shared" si="4"/>
        <v>Akash Kumar</v>
      </c>
      <c r="R6">
        <f t="shared" si="6"/>
        <v>11</v>
      </c>
      <c r="S6" s="21" t="s">
        <v>66</v>
      </c>
      <c r="T6">
        <v>91500</v>
      </c>
      <c r="U6" t="s">
        <v>97</v>
      </c>
      <c r="V6" t="s">
        <v>98</v>
      </c>
      <c r="W6">
        <v>1350</v>
      </c>
      <c r="X6">
        <v>19</v>
      </c>
      <c r="Y6" t="s">
        <v>28</v>
      </c>
    </row>
    <row r="7" spans="1:25" x14ac:dyDescent="0.35">
      <c r="A7" s="31" t="s">
        <v>29</v>
      </c>
      <c r="B7" s="31">
        <v>1351</v>
      </c>
      <c r="C7" s="31" t="s">
        <v>67</v>
      </c>
      <c r="D7" s="31" t="s">
        <v>16</v>
      </c>
      <c r="E7" s="31" t="s">
        <v>11</v>
      </c>
      <c r="F7" s="31">
        <v>16</v>
      </c>
      <c r="G7" s="31">
        <v>93</v>
      </c>
      <c r="H7" s="31">
        <v>9300</v>
      </c>
      <c r="I7" s="32" t="s">
        <v>68</v>
      </c>
      <c r="J7" s="33" t="str">
        <f t="shared" si="0"/>
        <v>22-JAN-1351</v>
      </c>
      <c r="K7" s="12">
        <v>45679</v>
      </c>
      <c r="L7" s="11">
        <v>-1351</v>
      </c>
      <c r="M7" t="str">
        <f t="shared" si="5"/>
        <v>1351</v>
      </c>
      <c r="N7" t="str">
        <f t="shared" si="1"/>
        <v>T. Nagar - Class X</v>
      </c>
      <c r="O7" t="str">
        <f t="shared" si="2"/>
        <v>T. Nagar - Class X</v>
      </c>
      <c r="P7">
        <f t="shared" si="3"/>
        <v>13</v>
      </c>
      <c r="Q7" t="str">
        <f t="shared" si="4"/>
        <v>Neha</v>
      </c>
      <c r="R7">
        <f t="shared" si="6"/>
        <v>4</v>
      </c>
      <c r="S7" s="21" t="s">
        <v>68</v>
      </c>
      <c r="T7">
        <v>80700</v>
      </c>
      <c r="U7" t="s">
        <v>97</v>
      </c>
      <c r="V7" t="s">
        <v>98</v>
      </c>
      <c r="W7">
        <v>1351</v>
      </c>
      <c r="X7">
        <v>22</v>
      </c>
      <c r="Y7" t="s">
        <v>29</v>
      </c>
    </row>
    <row r="8" spans="1:25" x14ac:dyDescent="0.35">
      <c r="A8" s="34" t="s">
        <v>30</v>
      </c>
      <c r="B8" s="34">
        <v>1352</v>
      </c>
      <c r="C8" s="34" t="s">
        <v>19</v>
      </c>
      <c r="D8" s="34" t="s">
        <v>87</v>
      </c>
      <c r="E8" s="34" t="s">
        <v>8</v>
      </c>
      <c r="F8" s="34">
        <v>16</v>
      </c>
      <c r="G8" s="34">
        <v>86</v>
      </c>
      <c r="H8" s="34">
        <v>8800</v>
      </c>
      <c r="I8" s="35" t="s">
        <v>69</v>
      </c>
      <c r="J8" s="33" t="str">
        <f t="shared" si="0"/>
        <v>25-JAN-1352</v>
      </c>
      <c r="K8" s="12">
        <v>45682</v>
      </c>
      <c r="L8" s="11">
        <v>-1352</v>
      </c>
      <c r="M8" t="str">
        <f t="shared" si="5"/>
        <v>1352</v>
      </c>
      <c r="N8" t="str">
        <f t="shared" si="1"/>
        <v>Tamabaram - Class XII</v>
      </c>
      <c r="O8" t="str">
        <f t="shared" si="2"/>
        <v>Tamabaram - Class XII</v>
      </c>
      <c r="P8">
        <f t="shared" si="3"/>
        <v>6</v>
      </c>
      <c r="Q8" t="str">
        <f t="shared" si="4"/>
        <v>Ananya</v>
      </c>
      <c r="R8">
        <f t="shared" si="6"/>
        <v>6</v>
      </c>
      <c r="S8" s="20" t="s">
        <v>69</v>
      </c>
      <c r="T8">
        <v>102000</v>
      </c>
      <c r="U8" t="s">
        <v>97</v>
      </c>
      <c r="V8" t="s">
        <v>98</v>
      </c>
      <c r="W8">
        <v>1352</v>
      </c>
      <c r="X8">
        <v>25</v>
      </c>
      <c r="Y8" t="s">
        <v>30</v>
      </c>
    </row>
    <row r="9" spans="1:25" x14ac:dyDescent="0.35">
      <c r="A9" s="31" t="s">
        <v>70</v>
      </c>
      <c r="B9" s="31" t="s">
        <v>100</v>
      </c>
      <c r="C9" s="31" t="s">
        <v>71</v>
      </c>
      <c r="D9" s="31" t="s">
        <v>10</v>
      </c>
      <c r="E9" s="31" t="s">
        <v>14</v>
      </c>
      <c r="F9" s="31">
        <v>17</v>
      </c>
      <c r="G9" s="31">
        <v>88</v>
      </c>
      <c r="H9" s="31">
        <v>8600</v>
      </c>
      <c r="I9" s="32" t="s">
        <v>72</v>
      </c>
      <c r="J9" s="33" t="str">
        <f t="shared" si="0"/>
        <v>29-JAN-1353</v>
      </c>
      <c r="K9" s="12">
        <v>45686</v>
      </c>
      <c r="L9" s="11">
        <v>-1353</v>
      </c>
      <c r="M9" t="str">
        <f t="shared" si="5"/>
        <v>1353</v>
      </c>
      <c r="N9" t="str">
        <f t="shared" si="1"/>
        <v>Anna Nagar - Class XI</v>
      </c>
      <c r="O9" t="str">
        <f t="shared" si="2"/>
        <v>Anna Nagar - Class XI</v>
      </c>
      <c r="P9">
        <f t="shared" si="3"/>
        <v>18</v>
      </c>
      <c r="Q9" t="str">
        <f t="shared" si="4"/>
        <v>Karthik</v>
      </c>
      <c r="R9">
        <f t="shared" si="6"/>
        <v>7</v>
      </c>
      <c r="S9" s="21" t="s">
        <v>72</v>
      </c>
      <c r="T9">
        <v>91400</v>
      </c>
      <c r="U9" t="s">
        <v>97</v>
      </c>
      <c r="V9" t="s">
        <v>98</v>
      </c>
      <c r="W9">
        <v>1353</v>
      </c>
      <c r="X9">
        <v>29</v>
      </c>
      <c r="Y9" t="s">
        <v>31</v>
      </c>
    </row>
    <row r="10" spans="1:25" x14ac:dyDescent="0.35">
      <c r="A10" s="34" t="s">
        <v>73</v>
      </c>
      <c r="B10" s="34">
        <v>1354</v>
      </c>
      <c r="C10" s="34" t="s">
        <v>74</v>
      </c>
      <c r="D10" s="34" t="s">
        <v>10</v>
      </c>
      <c r="E10" s="34" t="s">
        <v>11</v>
      </c>
      <c r="F10" s="34">
        <v>14</v>
      </c>
      <c r="G10" s="34">
        <v>87</v>
      </c>
      <c r="H10" s="34">
        <v>8900</v>
      </c>
      <c r="I10" s="35" t="s">
        <v>75</v>
      </c>
      <c r="J10" s="33" t="str">
        <f t="shared" si="0"/>
        <v>04-FEB-1354</v>
      </c>
      <c r="K10" s="12">
        <v>45692</v>
      </c>
      <c r="L10" s="11">
        <v>-1354</v>
      </c>
      <c r="M10" t="str">
        <f t="shared" si="5"/>
        <v>1354</v>
      </c>
      <c r="N10" t="str">
        <f t="shared" si="1"/>
        <v>Anna Nagar - Class X</v>
      </c>
      <c r="O10" t="str">
        <f t="shared" si="2"/>
        <v>Anna Nagar - Class X</v>
      </c>
      <c r="P10">
        <f t="shared" si="3"/>
        <v>18</v>
      </c>
      <c r="Q10" t="str">
        <f t="shared" si="4"/>
        <v>Siddharth</v>
      </c>
      <c r="R10">
        <f t="shared" si="6"/>
        <v>9</v>
      </c>
      <c r="S10" s="20" t="s">
        <v>75</v>
      </c>
      <c r="T10">
        <v>89000</v>
      </c>
      <c r="U10" t="s">
        <v>97</v>
      </c>
      <c r="V10" t="s">
        <v>99</v>
      </c>
      <c r="W10">
        <v>1354</v>
      </c>
      <c r="X10">
        <v>4</v>
      </c>
      <c r="Y10" t="s">
        <v>73</v>
      </c>
    </row>
    <row r="11" spans="1:25" x14ac:dyDescent="0.35">
      <c r="A11" s="31" t="s">
        <v>48</v>
      </c>
      <c r="B11" s="31">
        <v>1355</v>
      </c>
      <c r="C11" s="31" t="s">
        <v>76</v>
      </c>
      <c r="D11" s="31" t="s">
        <v>16</v>
      </c>
      <c r="E11" s="31" t="s">
        <v>8</v>
      </c>
      <c r="F11" s="31">
        <v>17</v>
      </c>
      <c r="G11" s="31">
        <v>90</v>
      </c>
      <c r="H11" s="31">
        <v>7700</v>
      </c>
      <c r="I11" s="32" t="s">
        <v>77</v>
      </c>
      <c r="J11" s="33" t="str">
        <f t="shared" si="0"/>
        <v>06-FEB-1355</v>
      </c>
      <c r="K11" s="12">
        <v>45694</v>
      </c>
      <c r="L11" s="11">
        <v>-1355</v>
      </c>
      <c r="M11" t="str">
        <f t="shared" si="5"/>
        <v>1355</v>
      </c>
      <c r="N11" t="str">
        <f t="shared" si="1"/>
        <v>T. Nagar - Class XII</v>
      </c>
      <c r="O11" t="str">
        <f t="shared" si="2"/>
        <v>T. Nagar - Class XII</v>
      </c>
      <c r="P11">
        <f t="shared" si="3"/>
        <v>6</v>
      </c>
      <c r="Q11" t="str">
        <f t="shared" si="4"/>
        <v>Riya</v>
      </c>
      <c r="R11">
        <f t="shared" si="6"/>
        <v>4</v>
      </c>
      <c r="S11" s="21" t="s">
        <v>77</v>
      </c>
      <c r="T11">
        <v>102300</v>
      </c>
      <c r="U11" t="s">
        <v>97</v>
      </c>
      <c r="V11" t="s">
        <v>99</v>
      </c>
      <c r="W11">
        <v>1355</v>
      </c>
      <c r="X11">
        <v>6</v>
      </c>
      <c r="Y11" t="s">
        <v>48</v>
      </c>
    </row>
    <row r="12" spans="1:25" x14ac:dyDescent="0.35">
      <c r="A12" s="34" t="s">
        <v>78</v>
      </c>
      <c r="B12" s="34">
        <v>1356</v>
      </c>
      <c r="C12" s="34" t="s">
        <v>23</v>
      </c>
      <c r="D12" s="34" t="s">
        <v>7</v>
      </c>
      <c r="E12" s="34" t="s">
        <v>79</v>
      </c>
      <c r="F12" s="34">
        <v>16</v>
      </c>
      <c r="G12" s="34">
        <v>80</v>
      </c>
      <c r="H12" s="34">
        <v>9000</v>
      </c>
      <c r="I12" s="35" t="s">
        <v>80</v>
      </c>
      <c r="J12" s="33" t="str">
        <f t="shared" si="0"/>
        <v>08-FEB-1356</v>
      </c>
      <c r="K12" s="12">
        <v>45696</v>
      </c>
      <c r="L12" s="11">
        <v>-1356</v>
      </c>
      <c r="M12" t="str">
        <f t="shared" si="5"/>
        <v>1356</v>
      </c>
      <c r="N12" t="str">
        <f t="shared" si="1"/>
        <v xml:space="preserve">Velachery - Class XI </v>
      </c>
      <c r="O12" t="str">
        <f t="shared" si="2"/>
        <v xml:space="preserve">Velachery - Class XI </v>
      </c>
      <c r="P12">
        <f t="shared" si="3"/>
        <v>5</v>
      </c>
      <c r="Q12" t="str">
        <f t="shared" si="4"/>
        <v>Aarav</v>
      </c>
      <c r="R12">
        <f t="shared" si="6"/>
        <v>5</v>
      </c>
      <c r="S12" s="20" t="s">
        <v>80</v>
      </c>
      <c r="T12">
        <v>95000</v>
      </c>
      <c r="U12" t="s">
        <v>97</v>
      </c>
      <c r="V12" t="s">
        <v>99</v>
      </c>
      <c r="W12">
        <v>1356</v>
      </c>
      <c r="X12">
        <v>8</v>
      </c>
      <c r="Y12" t="s">
        <v>78</v>
      </c>
    </row>
    <row r="13" spans="1:25" x14ac:dyDescent="0.35">
      <c r="A13" s="31" t="s">
        <v>34</v>
      </c>
      <c r="B13" s="31">
        <v>1357</v>
      </c>
      <c r="C13" s="31" t="s">
        <v>81</v>
      </c>
      <c r="D13" s="31" t="s">
        <v>16</v>
      </c>
      <c r="E13" s="31" t="s">
        <v>11</v>
      </c>
      <c r="F13" s="31">
        <v>15</v>
      </c>
      <c r="G13" s="31">
        <v>84</v>
      </c>
      <c r="H13" s="31">
        <v>9400</v>
      </c>
      <c r="I13" s="32" t="s">
        <v>82</v>
      </c>
      <c r="J13" s="33" t="str">
        <f t="shared" si="0"/>
        <v>14-FEB-1357</v>
      </c>
      <c r="K13" s="12">
        <v>45702</v>
      </c>
      <c r="L13" s="11">
        <v>-1357</v>
      </c>
      <c r="M13" t="str">
        <f t="shared" si="5"/>
        <v>1357</v>
      </c>
      <c r="N13" t="str">
        <f t="shared" si="1"/>
        <v>T. Nagar - Class X</v>
      </c>
      <c r="O13" t="str">
        <f t="shared" si="2"/>
        <v>T. Nagar - Class X</v>
      </c>
      <c r="P13">
        <f t="shared" si="3"/>
        <v>11</v>
      </c>
      <c r="Q13" t="str">
        <f t="shared" si="4"/>
        <v>Ishaan</v>
      </c>
      <c r="R13">
        <f t="shared" si="6"/>
        <v>6</v>
      </c>
      <c r="S13" s="22" t="s">
        <v>82</v>
      </c>
      <c r="T13">
        <v>81600</v>
      </c>
      <c r="U13" t="s">
        <v>97</v>
      </c>
      <c r="V13" t="s">
        <v>99</v>
      </c>
      <c r="W13">
        <v>1357</v>
      </c>
      <c r="X13">
        <v>14</v>
      </c>
      <c r="Y13" t="s">
        <v>34</v>
      </c>
    </row>
    <row r="14" spans="1:25" x14ac:dyDescent="0.35">
      <c r="A14" s="25"/>
      <c r="B14" s="26"/>
      <c r="C14" s="27"/>
      <c r="D14" s="27"/>
      <c r="E14" s="26"/>
      <c r="F14" s="26"/>
      <c r="G14" s="26"/>
      <c r="H14" s="26"/>
      <c r="I14" s="28"/>
      <c r="K14" s="12"/>
      <c r="L14" s="11"/>
      <c r="S14" s="28"/>
    </row>
    <row r="15" spans="1:25" x14ac:dyDescent="0.35">
      <c r="A15" t="s">
        <v>95</v>
      </c>
      <c r="B15" t="s">
        <v>101</v>
      </c>
      <c r="C15" t="s">
        <v>94</v>
      </c>
      <c r="D15" t="s">
        <v>96</v>
      </c>
    </row>
    <row r="16" spans="1:25" x14ac:dyDescent="0.35">
      <c r="A16" s="10" t="s">
        <v>88</v>
      </c>
      <c r="B16" s="24" t="s">
        <v>102</v>
      </c>
    </row>
    <row r="17" spans="3:15" x14ac:dyDescent="0.35">
      <c r="G17" t="str" cm="1">
        <f t="array" ref="G17:G28">CLEAN(A2:A13)</f>
        <v>19-JAN-1346</v>
      </c>
      <c r="J17" t="s">
        <v>104</v>
      </c>
    </row>
    <row r="18" spans="3:15" ht="15" thickBot="1" x14ac:dyDescent="0.4">
      <c r="C18" t="str" cm="1">
        <f t="array" ref="C18:C29">TRIM(C2:C13)</f>
        <v>Rahul</v>
      </c>
      <c r="D18">
        <f>LEN(C2)</f>
        <v>11</v>
      </c>
      <c r="G18" t="str">
        <v>08-JAN-1347</v>
      </c>
      <c r="L18" s="12"/>
      <c r="M18" s="17" t="s">
        <v>55</v>
      </c>
    </row>
    <row r="19" spans="3:15" ht="15" thickTop="1" x14ac:dyDescent="0.35">
      <c r="C19" t="str">
        <v>Priya</v>
      </c>
      <c r="G19" t="str">
        <v>12-JAN-1348</v>
      </c>
      <c r="H19" s="1" t="str">
        <f>(C2&amp;" "&amp;D2)</f>
        <v xml:space="preserve">      Rahul Velachery</v>
      </c>
      <c r="K19" t="str">
        <f>SUBSTITUTE(L3,"-"," ")</f>
        <v xml:space="preserve"> 1347</v>
      </c>
      <c r="L19" s="12"/>
      <c r="M19" s="19" t="s">
        <v>59</v>
      </c>
      <c r="N19">
        <v>101800</v>
      </c>
      <c r="O19" t="s">
        <v>97</v>
      </c>
    </row>
    <row r="20" spans="3:15" x14ac:dyDescent="0.35">
      <c r="C20" t="str">
        <v>Rohan</v>
      </c>
      <c r="G20" t="str">
        <v>15-JAN-1349</v>
      </c>
      <c r="H20" s="1" t="str">
        <f t="shared" ref="H20:H28" si="7">(C3&amp;" "&amp;D3)</f>
        <v>Priya Annaan Nagar</v>
      </c>
      <c r="L20" s="12"/>
      <c r="M20" s="20" t="s">
        <v>61</v>
      </c>
      <c r="N20">
        <v>81100</v>
      </c>
      <c r="O20" t="s">
        <v>97</v>
      </c>
    </row>
    <row r="21" spans="3:15" x14ac:dyDescent="0.35">
      <c r="C21" t="str">
        <v>Nisha</v>
      </c>
      <c r="G21" t="str">
        <v>19-JAN-1350</v>
      </c>
      <c r="H21" s="1" t="str">
        <f t="shared" si="7"/>
        <v xml:space="preserve">      Rohan Tambaram</v>
      </c>
      <c r="L21" s="12"/>
      <c r="M21" s="21" t="s">
        <v>63</v>
      </c>
      <c r="N21">
        <v>92200</v>
      </c>
      <c r="O21" t="s">
        <v>97</v>
      </c>
    </row>
    <row r="22" spans="3:15" x14ac:dyDescent="0.35">
      <c r="C22" t="str">
        <v>Akash Kumar</v>
      </c>
      <c r="G22" t="str">
        <v>22-JAN-1351</v>
      </c>
      <c r="H22" s="1" t="str">
        <f t="shared" si="7"/>
        <v>Nisha T. Nagar</v>
      </c>
      <c r="L22" s="12"/>
      <c r="M22" s="20" t="s">
        <v>64</v>
      </c>
      <c r="N22">
        <v>100900</v>
      </c>
      <c r="O22" t="s">
        <v>97</v>
      </c>
    </row>
    <row r="23" spans="3:15" x14ac:dyDescent="0.35">
      <c r="C23" t="str">
        <v>Neha</v>
      </c>
      <c r="G23" t="str">
        <v>25-JAN-1352</v>
      </c>
      <c r="H23" s="1" t="str">
        <f t="shared" si="7"/>
        <v>Akash   Kumar Velachery</v>
      </c>
      <c r="L23" s="12"/>
      <c r="M23" s="21" t="s">
        <v>66</v>
      </c>
      <c r="N23">
        <v>91500</v>
      </c>
      <c r="O23" t="s">
        <v>97</v>
      </c>
    </row>
    <row r="24" spans="3:15" x14ac:dyDescent="0.35">
      <c r="C24" t="str">
        <v>Ananya</v>
      </c>
      <c r="G24" t="str">
        <v>29-JAN-1353</v>
      </c>
      <c r="H24" s="1" t="str">
        <f t="shared" si="7"/>
        <v xml:space="preserve">         Neha T. Nagar</v>
      </c>
      <c r="L24" s="12"/>
      <c r="M24" s="21" t="s">
        <v>68</v>
      </c>
      <c r="N24">
        <v>80700</v>
      </c>
      <c r="O24" t="s">
        <v>97</v>
      </c>
    </row>
    <row r="25" spans="3:15" x14ac:dyDescent="0.35">
      <c r="C25" t="str">
        <v>Karthik</v>
      </c>
      <c r="G25" t="str">
        <v>04-FEB-1354</v>
      </c>
      <c r="H25" s="1" t="str">
        <f t="shared" si="7"/>
        <v>Ananya Tamabaram</v>
      </c>
      <c r="L25" s="12"/>
      <c r="M25" s="20" t="s">
        <v>69</v>
      </c>
      <c r="N25">
        <v>102000</v>
      </c>
      <c r="O25" t="s">
        <v>97</v>
      </c>
    </row>
    <row r="26" spans="3:15" x14ac:dyDescent="0.35">
      <c r="C26" t="str">
        <v>Siddharth</v>
      </c>
      <c r="G26" t="str">
        <v>06-FEB-1355</v>
      </c>
      <c r="H26" s="1" t="str">
        <f t="shared" si="7"/>
        <v xml:space="preserve">           Karthik Anna Nagar</v>
      </c>
      <c r="L26" s="12"/>
      <c r="M26" s="21" t="s">
        <v>72</v>
      </c>
      <c r="N26">
        <v>91400</v>
      </c>
      <c r="O26" t="s">
        <v>97</v>
      </c>
    </row>
    <row r="27" spans="3:15" x14ac:dyDescent="0.35">
      <c r="C27" t="str">
        <v>Riya</v>
      </c>
      <c r="G27" t="str">
        <v>08-FEB-1356</v>
      </c>
      <c r="H27" s="1" t="str">
        <f t="shared" si="7"/>
        <v xml:space="preserve">         Siddharth Anna Nagar</v>
      </c>
      <c r="L27" s="12"/>
      <c r="M27" s="20" t="s">
        <v>75</v>
      </c>
      <c r="N27">
        <v>89000</v>
      </c>
      <c r="O27" t="s">
        <v>97</v>
      </c>
    </row>
    <row r="28" spans="3:15" x14ac:dyDescent="0.35">
      <c r="C28" t="str">
        <v>Aarav</v>
      </c>
      <c r="G28" t="str">
        <v>14-FEB-1357</v>
      </c>
      <c r="H28" s="1" t="str">
        <f t="shared" si="7"/>
        <v xml:space="preserve">  Riya T. Nagar</v>
      </c>
      <c r="L28" s="12"/>
      <c r="M28" s="21" t="s">
        <v>77</v>
      </c>
      <c r="N28">
        <v>102300</v>
      </c>
      <c r="O28" t="s">
        <v>97</v>
      </c>
    </row>
    <row r="29" spans="3:15" x14ac:dyDescent="0.35">
      <c r="C29" t="str">
        <v>Ishaan</v>
      </c>
      <c r="L29" s="12"/>
      <c r="M29" s="20" t="s">
        <v>80</v>
      </c>
      <c r="N29">
        <v>95000</v>
      </c>
      <c r="O29" t="s">
        <v>97</v>
      </c>
    </row>
    <row r="30" spans="3:15" x14ac:dyDescent="0.35">
      <c r="M30" s="22" t="s">
        <v>82</v>
      </c>
      <c r="N30">
        <v>81600</v>
      </c>
      <c r="O30" t="s">
        <v>97</v>
      </c>
    </row>
  </sheetData>
  <mergeCells count="1"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E177-3B14-41BE-AC00-18ACD5166593}">
  <dimension ref="A1:O30"/>
  <sheetViews>
    <sheetView zoomScale="98" zoomScaleNormal="80" workbookViewId="0">
      <selection activeCell="D19" sqref="D19"/>
    </sheetView>
  </sheetViews>
  <sheetFormatPr defaultRowHeight="14.5" x14ac:dyDescent="0.35"/>
  <cols>
    <col min="1" max="1" width="13.6328125" customWidth="1"/>
    <col min="2" max="2" width="15.54296875" customWidth="1"/>
    <col min="3" max="3" width="18.90625" customWidth="1"/>
    <col min="4" max="4" width="16.36328125" customWidth="1"/>
    <col min="5" max="5" width="21.54296875" customWidth="1"/>
    <col min="6" max="6" width="21.36328125" customWidth="1"/>
    <col min="7" max="7" width="14.6328125" customWidth="1"/>
    <col min="8" max="8" width="13.7265625" customWidth="1"/>
    <col min="9" max="9" width="13.1796875" customWidth="1"/>
    <col min="10" max="10" width="14.7265625" customWidth="1"/>
    <col min="11" max="11" width="15.453125" customWidth="1"/>
    <col min="13" max="13" width="26.453125" customWidth="1"/>
    <col min="14" max="14" width="25.36328125" customWidth="1"/>
    <col min="15" max="15" width="14.7265625" customWidth="1"/>
  </cols>
  <sheetData>
    <row r="1" spans="1:15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8" t="s">
        <v>36</v>
      </c>
      <c r="H1" s="8" t="s">
        <v>37</v>
      </c>
      <c r="I1" s="8" t="s">
        <v>51</v>
      </c>
      <c r="J1" s="8" t="s">
        <v>52</v>
      </c>
      <c r="K1" s="9" t="s">
        <v>38</v>
      </c>
    </row>
    <row r="2" spans="1:15" x14ac:dyDescent="0.35">
      <c r="A2" s="13" t="s">
        <v>24</v>
      </c>
      <c r="B2" t="s">
        <v>6</v>
      </c>
      <c r="D2" s="1" t="s">
        <v>8</v>
      </c>
      <c r="E2" s="1">
        <v>17</v>
      </c>
      <c r="F2" s="1">
        <v>82</v>
      </c>
      <c r="G2" s="7"/>
      <c r="H2" s="6"/>
      <c r="I2" s="7"/>
      <c r="J2" s="7"/>
      <c r="K2" s="7"/>
    </row>
    <row r="3" spans="1:15" x14ac:dyDescent="0.35">
      <c r="A3" t="s">
        <v>25</v>
      </c>
      <c r="B3" t="s">
        <v>9</v>
      </c>
      <c r="C3" t="s">
        <v>86</v>
      </c>
      <c r="D3" s="1" t="s">
        <v>11</v>
      </c>
      <c r="E3" s="1">
        <v>14</v>
      </c>
      <c r="F3" s="1">
        <v>89</v>
      </c>
      <c r="G3" s="7"/>
      <c r="H3" s="6"/>
      <c r="I3" s="7"/>
      <c r="J3" s="7"/>
      <c r="K3" s="7"/>
      <c r="M3" s="2" t="s">
        <v>49</v>
      </c>
      <c r="N3" s="3"/>
    </row>
    <row r="4" spans="1:15" x14ac:dyDescent="0.35">
      <c r="A4" t="s">
        <v>26</v>
      </c>
      <c r="B4" t="s">
        <v>12</v>
      </c>
      <c r="C4" t="s">
        <v>13</v>
      </c>
      <c r="D4" s="1" t="s">
        <v>14</v>
      </c>
      <c r="E4" s="1">
        <v>16</v>
      </c>
      <c r="F4" s="1">
        <v>78</v>
      </c>
      <c r="G4" s="7"/>
      <c r="H4" s="6"/>
      <c r="I4" s="7"/>
      <c r="J4" s="7"/>
      <c r="K4" s="7"/>
      <c r="M4" s="2" t="s">
        <v>39</v>
      </c>
      <c r="N4" s="3"/>
    </row>
    <row r="5" spans="1:15" x14ac:dyDescent="0.35">
      <c r="A5" t="s">
        <v>27</v>
      </c>
      <c r="B5" t="s">
        <v>15</v>
      </c>
      <c r="C5" t="s">
        <v>16</v>
      </c>
      <c r="D5" s="1" t="s">
        <v>8</v>
      </c>
      <c r="E5" s="1"/>
      <c r="F5" s="1">
        <v>91</v>
      </c>
      <c r="G5" s="7"/>
      <c r="H5" s="6"/>
      <c r="I5" s="7"/>
      <c r="J5" s="7"/>
      <c r="K5" s="7"/>
      <c r="M5" s="2" t="s">
        <v>40</v>
      </c>
      <c r="N5" s="3"/>
    </row>
    <row r="6" spans="1:15" x14ac:dyDescent="0.35">
      <c r="A6" t="s">
        <v>28</v>
      </c>
      <c r="B6" t="s">
        <v>17</v>
      </c>
      <c r="C6" t="s">
        <v>7</v>
      </c>
      <c r="D6" s="1" t="s">
        <v>14</v>
      </c>
      <c r="E6" s="1">
        <v>17</v>
      </c>
      <c r="F6" s="1">
        <v>85</v>
      </c>
      <c r="G6" s="7"/>
      <c r="H6" s="6"/>
      <c r="I6" s="7"/>
      <c r="J6" s="7"/>
      <c r="K6" s="7"/>
    </row>
    <row r="7" spans="1:15" x14ac:dyDescent="0.35">
      <c r="A7" t="s">
        <v>29</v>
      </c>
      <c r="B7" t="s">
        <v>18</v>
      </c>
      <c r="C7" t="s">
        <v>16</v>
      </c>
      <c r="D7" s="1" t="s">
        <v>11</v>
      </c>
      <c r="E7" s="1">
        <v>16</v>
      </c>
      <c r="F7" s="1">
        <v>93</v>
      </c>
      <c r="G7" s="7"/>
      <c r="H7" s="6"/>
      <c r="I7" s="7"/>
      <c r="J7" s="7"/>
      <c r="K7" s="7"/>
    </row>
    <row r="8" spans="1:15" x14ac:dyDescent="0.35">
      <c r="A8" t="s">
        <v>30</v>
      </c>
      <c r="B8" t="s">
        <v>19</v>
      </c>
      <c r="C8" t="s">
        <v>87</v>
      </c>
      <c r="D8" s="1" t="s">
        <v>14</v>
      </c>
      <c r="E8" s="1"/>
      <c r="F8" s="1">
        <v>80</v>
      </c>
      <c r="G8" s="7"/>
      <c r="H8" s="6"/>
      <c r="I8" s="7"/>
      <c r="J8" s="7"/>
      <c r="K8" s="7"/>
    </row>
    <row r="9" spans="1:15" x14ac:dyDescent="0.35">
      <c r="A9" t="s">
        <v>31</v>
      </c>
      <c r="B9" t="s">
        <v>20</v>
      </c>
      <c r="C9" t="s">
        <v>10</v>
      </c>
      <c r="D9" s="1" t="s">
        <v>14</v>
      </c>
      <c r="E9" s="1">
        <v>17</v>
      </c>
      <c r="F9" s="1">
        <v>86</v>
      </c>
      <c r="G9" s="7"/>
      <c r="H9" s="6"/>
      <c r="I9" s="7"/>
      <c r="J9" s="7"/>
      <c r="K9" s="7"/>
      <c r="M9" s="4" t="s">
        <v>41</v>
      </c>
    </row>
    <row r="10" spans="1:15" x14ac:dyDescent="0.35">
      <c r="A10" t="s">
        <v>32</v>
      </c>
      <c r="B10" t="s">
        <v>21</v>
      </c>
      <c r="C10" t="s">
        <v>10</v>
      </c>
      <c r="D10" s="1" t="s">
        <v>14</v>
      </c>
      <c r="E10" s="1">
        <v>17</v>
      </c>
      <c r="F10" s="1">
        <v>88</v>
      </c>
      <c r="G10" s="7"/>
      <c r="H10" s="6"/>
      <c r="I10" s="7"/>
      <c r="J10" s="7"/>
      <c r="K10" s="7"/>
    </row>
    <row r="11" spans="1:15" x14ac:dyDescent="0.35">
      <c r="A11" t="s">
        <v>48</v>
      </c>
      <c r="B11" t="s">
        <v>22</v>
      </c>
      <c r="C11" t="s">
        <v>16</v>
      </c>
      <c r="D11" s="1" t="s">
        <v>8</v>
      </c>
      <c r="E11" s="1">
        <v>17</v>
      </c>
      <c r="F11" s="1">
        <v>77</v>
      </c>
      <c r="G11" s="7"/>
      <c r="H11" s="6"/>
      <c r="I11" s="7"/>
      <c r="J11" s="7"/>
      <c r="K11" s="7"/>
      <c r="M11" t="s">
        <v>42</v>
      </c>
      <c r="N11" t="s">
        <v>43</v>
      </c>
      <c r="O11" t="s">
        <v>44</v>
      </c>
    </row>
    <row r="12" spans="1:15" x14ac:dyDescent="0.35">
      <c r="A12" t="s">
        <v>33</v>
      </c>
      <c r="B12" t="s">
        <v>23</v>
      </c>
      <c r="D12" s="1" t="s">
        <v>8</v>
      </c>
      <c r="E12" s="1">
        <v>16</v>
      </c>
      <c r="F12" s="1">
        <v>90</v>
      </c>
      <c r="G12" s="7"/>
      <c r="H12" s="6"/>
      <c r="I12" s="7"/>
      <c r="J12" s="7"/>
      <c r="K12" s="7"/>
      <c r="M12" t="s">
        <v>45</v>
      </c>
      <c r="N12" t="s">
        <v>46</v>
      </c>
      <c r="O12" t="s">
        <v>47</v>
      </c>
    </row>
    <row r="13" spans="1:15" x14ac:dyDescent="0.35">
      <c r="A13" t="s">
        <v>34</v>
      </c>
      <c r="B13" t="s">
        <v>50</v>
      </c>
      <c r="C13" t="s">
        <v>16</v>
      </c>
      <c r="D13" s="1" t="s">
        <v>11</v>
      </c>
      <c r="E13" s="1"/>
      <c r="F13" s="1">
        <v>84</v>
      </c>
      <c r="G13" s="7"/>
      <c r="H13" s="6"/>
      <c r="I13" s="7"/>
      <c r="J13" s="7"/>
      <c r="K13" s="7"/>
    </row>
    <row r="14" spans="1:15" x14ac:dyDescent="0.35">
      <c r="A14" t="s">
        <v>35</v>
      </c>
      <c r="B14" t="s">
        <v>53</v>
      </c>
      <c r="C14" t="s">
        <v>10</v>
      </c>
      <c r="D14" s="1" t="s">
        <v>11</v>
      </c>
      <c r="E14" s="1">
        <v>14</v>
      </c>
      <c r="F14" s="1">
        <v>89</v>
      </c>
      <c r="G14" s="7"/>
      <c r="H14" s="6"/>
      <c r="I14" s="7"/>
      <c r="J14" s="7"/>
      <c r="K14" s="7"/>
    </row>
    <row r="18" spans="3:8" x14ac:dyDescent="0.35">
      <c r="C18" s="13"/>
      <c r="D18" s="14"/>
      <c r="E18" s="1"/>
      <c r="H18" s="13"/>
    </row>
    <row r="19" spans="3:8" x14ac:dyDescent="0.35">
      <c r="D19" s="1"/>
      <c r="E19" s="1"/>
    </row>
    <row r="20" spans="3:8" x14ac:dyDescent="0.35">
      <c r="D20" s="1"/>
      <c r="E20" s="1"/>
    </row>
    <row r="21" spans="3:8" x14ac:dyDescent="0.35">
      <c r="D21" s="1"/>
      <c r="E21" s="1"/>
    </row>
    <row r="22" spans="3:8" x14ac:dyDescent="0.35">
      <c r="D22" s="1"/>
      <c r="E22" s="1"/>
    </row>
    <row r="23" spans="3:8" x14ac:dyDescent="0.35">
      <c r="D23" s="1"/>
      <c r="E23" s="1"/>
    </row>
    <row r="24" spans="3:8" x14ac:dyDescent="0.35">
      <c r="D24" s="1"/>
      <c r="E24" s="1"/>
    </row>
    <row r="25" spans="3:8" x14ac:dyDescent="0.35">
      <c r="D25" s="1"/>
      <c r="E25" s="1"/>
    </row>
    <row r="26" spans="3:8" x14ac:dyDescent="0.35">
      <c r="D26" s="1"/>
      <c r="E26" s="1"/>
    </row>
    <row r="27" spans="3:8" x14ac:dyDescent="0.35">
      <c r="D27" s="1"/>
      <c r="E27" s="1"/>
    </row>
    <row r="28" spans="3:8" x14ac:dyDescent="0.35">
      <c r="D28" s="1"/>
      <c r="E28" s="1"/>
    </row>
    <row r="29" spans="3:8" x14ac:dyDescent="0.35">
      <c r="D29" s="1"/>
      <c r="E29" s="1"/>
    </row>
    <row r="30" spans="3:8" x14ac:dyDescent="0.35">
      <c r="D30" s="1"/>
      <c r="E30" s="1"/>
    </row>
  </sheetData>
  <conditionalFormatting sqref="F15:F1048576 F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43F5C5-A48D-4E28-B2E4-3A8327105B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</vt:lpstr>
      <vt:lpstr>Dataset Imputation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Delmon</dc:creator>
  <cp:lastModifiedBy>Admin</cp:lastModifiedBy>
  <dcterms:created xsi:type="dcterms:W3CDTF">2025-05-26T07:53:23Z</dcterms:created>
  <dcterms:modified xsi:type="dcterms:W3CDTF">2025-11-29T16:58:44Z</dcterms:modified>
</cp:coreProperties>
</file>