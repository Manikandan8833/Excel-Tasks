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tri DA\"/>
    </mc:Choice>
  </mc:AlternateContent>
  <xr:revisionPtr revIDLastSave="0" documentId="13_ncr:1_{DC835A03-FE79-47C1-B66C-1EE2EB51105D}" xr6:coauthVersionLast="47" xr6:coauthVersionMax="47" xr10:uidLastSave="{00000000-0000-0000-0000-000000000000}"/>
  <bookViews>
    <workbookView xWindow="-110" yWindow="-110" windowWidth="19420" windowHeight="10300" xr2:uid="{058F1BD3-6044-4E19-87AF-F5ED5EB94C04}"/>
  </bookViews>
  <sheets>
    <sheet name="Data Set  " sheetId="1" r:id="rId1"/>
    <sheet name="Sheet 2 + Fee" sheetId="2" r:id="rId2"/>
    <sheet name="Medical DataSet" sheetId="3" r:id="rId3"/>
  </sheets>
  <definedNames>
    <definedName name="_xlcn.WorksheetConnection_DateandTimeFunctions.xlsxTable51" hidden="1">Table5[]</definedName>
    <definedName name="_xlcn.WorksheetConnection_DateandTimeFunctions.xlsxTable61" hidden="1">Table6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6" name="Table6" connection="WorksheetConnection_Date and Time Functions.xlsx!Table6"/>
          <x15:modelTable id="Table5" name="Table5" connection="WorksheetConnection_Date and Time Functions.xlsx!Table5"/>
        </x15:modelTables>
        <x15:modelRelationships>
          <x15:modelRelationship fromTable="Table6" fromColumn="Admission Test Score" toTable="Table5" toColumn="Admission ID"/>
        </x15:modelRelationships>
      </x15:dataModel>
    </ext>
  </extLst>
</workbook>
</file>

<file path=xl/calcChain.xml><?xml version="1.0" encoding="utf-8"?>
<calcChain xmlns="http://schemas.openxmlformats.org/spreadsheetml/2006/main">
  <c r="Q22" i="1" l="1"/>
  <c r="Q23" i="1"/>
  <c r="Q24" i="1"/>
  <c r="Q25" i="1"/>
  <c r="Q26" i="1"/>
  <c r="Q27" i="1"/>
  <c r="Q28" i="1"/>
  <c r="Q29" i="1"/>
  <c r="Q30" i="1"/>
  <c r="Q31" i="1"/>
  <c r="Q32" i="1"/>
  <c r="Q21" i="1"/>
  <c r="P22" i="1"/>
  <c r="P23" i="1"/>
  <c r="P24" i="1"/>
  <c r="P25" i="1"/>
  <c r="P26" i="1"/>
  <c r="P27" i="1"/>
  <c r="P28" i="1"/>
  <c r="P29" i="1"/>
  <c r="P30" i="1"/>
  <c r="P31" i="1"/>
  <c r="P32" i="1"/>
  <c r="P21" i="1"/>
  <c r="M21" i="1"/>
  <c r="O22" i="1"/>
  <c r="O23" i="1"/>
  <c r="O24" i="1"/>
  <c r="O25" i="1"/>
  <c r="O26" i="1"/>
  <c r="O27" i="1"/>
  <c r="O28" i="1"/>
  <c r="O29" i="1"/>
  <c r="O30" i="1"/>
  <c r="O31" i="1"/>
  <c r="O32" i="1"/>
  <c r="O21" i="1"/>
  <c r="N22" i="1"/>
  <c r="N23" i="1"/>
  <c r="N24" i="1"/>
  <c r="N25" i="1"/>
  <c r="N26" i="1"/>
  <c r="N27" i="1"/>
  <c r="N28" i="1"/>
  <c r="N29" i="1"/>
  <c r="N30" i="1"/>
  <c r="N31" i="1"/>
  <c r="N32" i="1"/>
  <c r="N21" i="1"/>
  <c r="M22" i="1"/>
  <c r="M23" i="1"/>
  <c r="M24" i="1"/>
  <c r="M25" i="1"/>
  <c r="M26" i="1"/>
  <c r="M27" i="1"/>
  <c r="M28" i="1"/>
  <c r="M29" i="1"/>
  <c r="M30" i="1"/>
  <c r="M31" i="1"/>
  <c r="M32" i="1"/>
  <c r="K3" i="1"/>
  <c r="K2" i="1"/>
  <c r="K4" i="1" s="1"/>
  <c r="K5" i="1" l="1"/>
  <c r="K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522CF8-E175-442D-AF5A-1E403EF81C7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F4227E-B6CD-49B2-A4CB-15A09B3F3DE4}" name="WorksheetConnection_Date and Time Functions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DateandTimeFunctions.xlsxTable51"/>
        </x15:connection>
      </ext>
    </extLst>
  </connection>
  <connection id="3" xr16:uid="{6890BCDD-246A-4EC1-8E3A-266DAEE9A041}" name="WorksheetConnection_Date and Time Functions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DateandTimeFunctions.xlsxTable61"/>
        </x15:connection>
      </ext>
    </extLst>
  </connection>
</connections>
</file>

<file path=xl/sharedStrings.xml><?xml version="1.0" encoding="utf-8"?>
<sst xmlns="http://schemas.openxmlformats.org/spreadsheetml/2006/main" count="380" uniqueCount="194">
  <si>
    <t>Admission ID</t>
  </si>
  <si>
    <t>Name</t>
  </si>
  <si>
    <t>School Branch</t>
  </si>
  <si>
    <t>Enrolled Class</t>
  </si>
  <si>
    <t>Age</t>
  </si>
  <si>
    <t>Admission Test Score</t>
  </si>
  <si>
    <t>Scholarship (₹)</t>
  </si>
  <si>
    <t>Fee Paid (₹)</t>
  </si>
  <si>
    <t>01-Jan-1346</t>
  </si>
  <si>
    <t>Rahul</t>
  </si>
  <si>
    <t>Anna Nagar</t>
  </si>
  <si>
    <t>Class XII</t>
  </si>
  <si>
    <t>02-Jan-1347</t>
  </si>
  <si>
    <t>Priya</t>
  </si>
  <si>
    <t>T. Nagar</t>
  </si>
  <si>
    <t>Class X</t>
  </si>
  <si>
    <t>03-Jan-1348</t>
  </si>
  <si>
    <t>Rohan</t>
  </si>
  <si>
    <t>Velachery</t>
  </si>
  <si>
    <t>Class XI</t>
  </si>
  <si>
    <t>04-Jan-1349</t>
  </si>
  <si>
    <t>Nisha</t>
  </si>
  <si>
    <t>Tambaram</t>
  </si>
  <si>
    <t>04-Jan-1350</t>
  </si>
  <si>
    <t>Akash</t>
  </si>
  <si>
    <t>04-Jan-1351</t>
  </si>
  <si>
    <t>Neha</t>
  </si>
  <si>
    <t>05-Jan-1352</t>
  </si>
  <si>
    <t>Ananya</t>
  </si>
  <si>
    <t>06-Jan-1353</t>
  </si>
  <si>
    <t>Karthik</t>
  </si>
  <si>
    <t>06-Jan-1354</t>
  </si>
  <si>
    <t>Siddharth</t>
  </si>
  <si>
    <t>08-Jan-1355</t>
  </si>
  <si>
    <t>Riya</t>
  </si>
  <si>
    <t>09-Jan-1356</t>
  </si>
  <si>
    <t>Aarav</t>
  </si>
  <si>
    <t>10-Jan-1357</t>
  </si>
  <si>
    <t>Ishaan</t>
  </si>
  <si>
    <t>10-Jan-1358</t>
  </si>
  <si>
    <t>Bhavya</t>
  </si>
  <si>
    <t>11-Jan-1359</t>
  </si>
  <si>
    <t>Advik</t>
  </si>
  <si>
    <t>12-Jan-1360</t>
  </si>
  <si>
    <t>Aadi</t>
  </si>
  <si>
    <t>13-Jan-1361</t>
  </si>
  <si>
    <t>Arya</t>
  </si>
  <si>
    <t>15-Jan-1362</t>
  </si>
  <si>
    <t>Chaaya</t>
  </si>
  <si>
    <t>16-Jan-1363</t>
  </si>
  <si>
    <t>Arjun</t>
  </si>
  <si>
    <t>17-Jan-1364</t>
  </si>
  <si>
    <t>Yash</t>
  </si>
  <si>
    <t>17-Jan-1365</t>
  </si>
  <si>
    <t>Saranya</t>
  </si>
  <si>
    <t>17-Jan-1366</t>
  </si>
  <si>
    <t>Aditi</t>
  </si>
  <si>
    <t>18-Jan-1367</t>
  </si>
  <si>
    <t>Dev</t>
  </si>
  <si>
    <t>19-Jan-1368</t>
  </si>
  <si>
    <t>Aisha</t>
  </si>
  <si>
    <t>20-Jan-1369</t>
  </si>
  <si>
    <t>Kabir</t>
  </si>
  <si>
    <t>22-Jan-1370</t>
  </si>
  <si>
    <t>Anushka</t>
  </si>
  <si>
    <t>23-Jan-1371</t>
  </si>
  <si>
    <t>Natasha</t>
  </si>
  <si>
    <t>24-Jan-1372</t>
  </si>
  <si>
    <t>Venkat</t>
  </si>
  <si>
    <t>24-Jan-1373</t>
  </si>
  <si>
    <t>Aditya</t>
  </si>
  <si>
    <t>25-Jan-1374</t>
  </si>
  <si>
    <t>Maya</t>
  </si>
  <si>
    <t>26-Jan-1375</t>
  </si>
  <si>
    <t>Kumar</t>
  </si>
  <si>
    <t>27-Jan-1376</t>
  </si>
  <si>
    <t>Navya</t>
  </si>
  <si>
    <t>27-Jan-1377</t>
  </si>
  <si>
    <t>Viyaan</t>
  </si>
  <si>
    <t>27-Jan-1378</t>
  </si>
  <si>
    <t>Pooja</t>
  </si>
  <si>
    <t>28-Jan-1379</t>
  </si>
  <si>
    <t>Lavanya</t>
  </si>
  <si>
    <t>29-Jan-1380</t>
  </si>
  <si>
    <t>Tara</t>
  </si>
  <si>
    <t>30-Jan-1381</t>
  </si>
  <si>
    <t>Devika</t>
  </si>
  <si>
    <t>01-Feb-1382</t>
  </si>
  <si>
    <t>Zayn</t>
  </si>
  <si>
    <t>01-Feb-1383</t>
  </si>
  <si>
    <t>Aahana</t>
  </si>
  <si>
    <t>02-Feb-1384</t>
  </si>
  <si>
    <t>Aradhya</t>
  </si>
  <si>
    <t>03-Feb-1385</t>
  </si>
  <si>
    <t>Varsha</t>
  </si>
  <si>
    <t>05-Feb-1386</t>
  </si>
  <si>
    <t>Hrithik</t>
  </si>
  <si>
    <t>05-Feb-1387</t>
  </si>
  <si>
    <t>Sahana</t>
  </si>
  <si>
    <t>06-Feb-1388</t>
  </si>
  <si>
    <t>Vimal</t>
  </si>
  <si>
    <t>06-Feb-1389</t>
  </si>
  <si>
    <t>Riyaan</t>
  </si>
  <si>
    <t>06-Feb-1390</t>
  </si>
  <si>
    <t>Shreya</t>
  </si>
  <si>
    <t>07-Feb-1391</t>
  </si>
  <si>
    <t>Meera</t>
  </si>
  <si>
    <t>08-Feb-1392</t>
  </si>
  <si>
    <t>Kiara</t>
  </si>
  <si>
    <t>09-Feb-1393</t>
  </si>
  <si>
    <t>Farhan</t>
  </si>
  <si>
    <t>10-Feb-1394</t>
  </si>
  <si>
    <t>Diya</t>
  </si>
  <si>
    <t>10-Feb-1395</t>
  </si>
  <si>
    <t>Abhinav</t>
  </si>
  <si>
    <t>10-Feb-1396</t>
  </si>
  <si>
    <t>Hari</t>
  </si>
  <si>
    <t>12-Feb-1397</t>
  </si>
  <si>
    <t>Saanvi</t>
  </si>
  <si>
    <t>12-Feb-1398</t>
  </si>
  <si>
    <t>Peter</t>
  </si>
  <si>
    <t>13-Feb-1399</t>
  </si>
  <si>
    <t>Zara</t>
  </si>
  <si>
    <t>14-Feb-1400</t>
  </si>
  <si>
    <t>Pranav</t>
  </si>
  <si>
    <t xml:space="preserve">Student Opted for Special coaching </t>
  </si>
  <si>
    <t xml:space="preserve">Admission ID </t>
  </si>
  <si>
    <t xml:space="preserve">Name </t>
  </si>
  <si>
    <t xml:space="preserve">School Branch </t>
  </si>
  <si>
    <t>Coaching Fee</t>
  </si>
  <si>
    <t>VLOOKUP</t>
  </si>
  <si>
    <t>HLOOKUP</t>
  </si>
  <si>
    <t>Class</t>
  </si>
  <si>
    <t>Special Coaching Fee(JEE/NEET)</t>
  </si>
  <si>
    <t>CLASS X</t>
  </si>
  <si>
    <t>CLASS XI</t>
  </si>
  <si>
    <t>CLASS XII</t>
  </si>
  <si>
    <t>XLOOKUP</t>
  </si>
  <si>
    <t>Shift</t>
  </si>
  <si>
    <t>Level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</si>
  <si>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</si>
  <si>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</si>
  <si>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</si>
  <si>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</si>
  <si>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</si>
  <si>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</si>
  <si>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</si>
  <si>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</si>
  <si>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</si>
  <si>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</si>
  <si>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Aryan Patel</t>
  </si>
  <si>
    <t>Ananya Nair</t>
  </si>
  <si>
    <t>Manish Kumar</t>
  </si>
  <si>
    <t>Jai Singh</t>
  </si>
  <si>
    <t>Ravi Kumar</t>
  </si>
  <si>
    <t>Meera Joshi</t>
  </si>
  <si>
    <t>Morning</t>
  </si>
  <si>
    <t>Night</t>
  </si>
  <si>
    <t>Evening</t>
  </si>
  <si>
    <t>Cardiology</t>
  </si>
  <si>
    <t>Staff ID</t>
  </si>
  <si>
    <t>Department</t>
  </si>
  <si>
    <t>Experience</t>
  </si>
  <si>
    <t>Junior</t>
  </si>
  <si>
    <t>Ramya Reddy</t>
  </si>
  <si>
    <t>Emergency Care</t>
  </si>
  <si>
    <t>Rohan Sharma</t>
  </si>
  <si>
    <t>Neurology</t>
  </si>
  <si>
    <t>Mid-level</t>
  </si>
  <si>
    <t>ICU</t>
  </si>
  <si>
    <t>Orthopedics</t>
  </si>
  <si>
    <t>Senior</t>
  </si>
  <si>
    <t>Shruti Iyer</t>
  </si>
  <si>
    <t>Surgery</t>
  </si>
  <si>
    <t>Pediatrics</t>
  </si>
  <si>
    <t>Shilpa Menon</t>
  </si>
  <si>
    <t>Maternity</t>
  </si>
  <si>
    <t>Dermatology</t>
  </si>
  <si>
    <t>Oncology</t>
  </si>
  <si>
    <t>Minimum Experience</t>
  </si>
  <si>
    <t>Doctor Name</t>
  </si>
  <si>
    <t>MATCH</t>
  </si>
  <si>
    <t>INDEX</t>
  </si>
  <si>
    <t>Time Based Function</t>
  </si>
  <si>
    <t xml:space="preserve">Today </t>
  </si>
  <si>
    <t>Month</t>
  </si>
  <si>
    <t>Day</t>
  </si>
  <si>
    <t xml:space="preserve">Encoding </t>
  </si>
  <si>
    <t xml:space="preserve">Mode </t>
  </si>
  <si>
    <t xml:space="preserve">index </t>
  </si>
  <si>
    <t>Mode :</t>
  </si>
  <si>
    <t>Now (Date and Time )</t>
  </si>
  <si>
    <t>Year (Extract)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</si>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</sst>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3A4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4" borderId="1" xfId="0" applyFont="1" applyFill="1" applyBorder="1"/>
    <xf numFmtId="0" fontId="0" fillId="6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6" borderId="0" xfId="0" applyFill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4" fontId="0" fillId="0" borderId="0" xfId="0" applyNumberFormat="1"/>
    <xf numFmtId="14" fontId="1" fillId="0" borderId="0" xfId="0" applyNumberFormat="1" applyFont="1"/>
    <xf numFmtId="0" fontId="1" fillId="7" borderId="4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16" fontId="0" fillId="0" borderId="0" xfId="0" applyNumberFormat="1"/>
    <xf numFmtId="22" fontId="1" fillId="0" borderId="0" xfId="0" applyNumberFormat="1" applyFont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18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solid">
          <fgColor rgb="FFDDEBF7"/>
          <bgColor rgb="FFDDEBF7"/>
        </patternFill>
      </fill>
      <border diagonalUp="0" diagonalDown="0">
        <left/>
        <right/>
        <top/>
        <bottom style="thin">
          <color rgb="FF9BC2E6"/>
        </bottom>
        <vertical/>
        <horizontal/>
      </border>
    </dxf>
    <dxf>
      <border outline="0">
        <left style="thin">
          <color rgb="FF9BC2E6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90113-BC74-41C8-8877-39C83D9C4914}" name="Table5" displayName="Table5" ref="A1:H56" totalsRowShown="0" headerRowDxfId="10" dataDxfId="9" tableBorderDxfId="8">
  <tableColumns count="8">
    <tableColumn id="1" xr3:uid="{6B35E246-742E-45BE-9D22-CDEAA5CAEE1B}" name="Admission ID" dataDxfId="7"/>
    <tableColumn id="2" xr3:uid="{8C09A01A-9D99-4CE8-B62E-7EEEF8843F3B}" name="Name" dataDxfId="6"/>
    <tableColumn id="3" xr3:uid="{A6394F3D-E91D-45E1-9E34-C881DDDACA92}" name="School Branch" dataDxfId="0"/>
    <tableColumn id="4" xr3:uid="{9DE21A4E-5FEB-49A3-9A61-5E083198668F}" name="Enrolled Class" dataDxfId="5"/>
    <tableColumn id="5" xr3:uid="{18262B1B-FFBD-4C3C-9ACC-301AE5948A6C}" name="Age" dataDxfId="4"/>
    <tableColumn id="6" xr3:uid="{7249DAA3-5DF0-4DB1-8C54-8F503762F7AE}" name="Admission Test Score" dataDxfId="3"/>
    <tableColumn id="7" xr3:uid="{26DB85B5-2EE7-498F-AB86-5D26276648FB}" name="Scholarship (₹)" dataDxfId="2"/>
    <tableColumn id="8" xr3:uid="{501D771C-B103-4F64-AD4B-054EACD741BC}" name="Fee Paid (₹)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79C7-3D27-451C-952C-9B684BB6DD2F}">
  <dimension ref="A1:Q56"/>
  <sheetViews>
    <sheetView tabSelected="1" topLeftCell="I1" zoomScale="78" zoomScaleNormal="110" workbookViewId="0">
      <selection activeCell="K12" sqref="K12"/>
    </sheetView>
  </sheetViews>
  <sheetFormatPr defaultRowHeight="14.5" x14ac:dyDescent="0.35"/>
  <cols>
    <col min="1" max="1" width="16.54296875" customWidth="1"/>
    <col min="2" max="2" width="18" customWidth="1"/>
    <col min="3" max="3" width="17.26953125" customWidth="1"/>
    <col min="4" max="4" width="14.6328125" customWidth="1"/>
    <col min="6" max="6" width="15.90625" customWidth="1"/>
    <col min="7" max="7" width="14.26953125" customWidth="1"/>
    <col min="8" max="8" width="13.81640625" customWidth="1"/>
    <col min="10" max="10" width="12.6328125" customWidth="1"/>
    <col min="11" max="11" width="44.453125" customWidth="1"/>
    <col min="12" max="12" width="29.1796875" customWidth="1"/>
    <col min="13" max="13" width="14" customWidth="1"/>
    <col min="14" max="14" width="14.453125" customWidth="1"/>
    <col min="15" max="15" width="17.81640625" customWidth="1"/>
    <col min="16" max="16" width="18.54296875" customWidth="1"/>
    <col min="17" max="17" width="28.1796875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20" t="s">
        <v>183</v>
      </c>
      <c r="L1" s="20"/>
    </row>
    <row r="2" spans="1:17" x14ac:dyDescent="0.35">
      <c r="A2" s="1" t="s">
        <v>8</v>
      </c>
      <c r="B2" s="1" t="s">
        <v>9</v>
      </c>
      <c r="C2" s="1" t="s">
        <v>10</v>
      </c>
      <c r="D2" s="1" t="s">
        <v>11</v>
      </c>
      <c r="E2" s="1">
        <v>18</v>
      </c>
      <c r="F2" s="1">
        <v>92</v>
      </c>
      <c r="G2" s="1">
        <v>9200</v>
      </c>
      <c r="H2" s="1">
        <v>100800</v>
      </c>
      <c r="J2" s="14"/>
      <c r="K2" s="15">
        <f ca="1">TODAY()</f>
        <v>45997</v>
      </c>
      <c r="L2" s="6" t="s">
        <v>184</v>
      </c>
      <c r="M2" s="14"/>
      <c r="N2" s="14"/>
    </row>
    <row r="3" spans="1:17" x14ac:dyDescent="0.35">
      <c r="A3" s="1" t="s">
        <v>12</v>
      </c>
      <c r="B3" s="1" t="s">
        <v>13</v>
      </c>
      <c r="C3" s="1" t="s">
        <v>14</v>
      </c>
      <c r="D3" s="1" t="s">
        <v>15</v>
      </c>
      <c r="E3" s="1">
        <v>14</v>
      </c>
      <c r="F3" s="1">
        <v>78</v>
      </c>
      <c r="G3" s="1">
        <v>7800</v>
      </c>
      <c r="H3" s="1">
        <v>82200</v>
      </c>
      <c r="J3" s="14"/>
      <c r="K3" s="19">
        <f ca="1">NOW()</f>
        <v>45997.902389930554</v>
      </c>
      <c r="L3" s="6" t="s">
        <v>191</v>
      </c>
      <c r="P3" s="7" t="s">
        <v>132</v>
      </c>
      <c r="Q3" s="7" t="s">
        <v>133</v>
      </c>
    </row>
    <row r="4" spans="1:17" x14ac:dyDescent="0.35">
      <c r="A4" s="1" t="s">
        <v>16</v>
      </c>
      <c r="B4" s="1" t="s">
        <v>17</v>
      </c>
      <c r="C4" s="1" t="s">
        <v>18</v>
      </c>
      <c r="D4" s="1" t="s">
        <v>19</v>
      </c>
      <c r="E4" s="1">
        <v>16</v>
      </c>
      <c r="F4" s="1">
        <v>86</v>
      </c>
      <c r="G4" s="1">
        <v>8600</v>
      </c>
      <c r="H4" s="1">
        <v>91400</v>
      </c>
      <c r="J4" s="14"/>
      <c r="K4" s="6">
        <f ca="1">YEAR(K2)</f>
        <v>2025</v>
      </c>
      <c r="L4" s="6" t="s">
        <v>192</v>
      </c>
      <c r="P4" s="1" t="s">
        <v>134</v>
      </c>
      <c r="Q4" s="1">
        <v>5000</v>
      </c>
    </row>
    <row r="5" spans="1:17" x14ac:dyDescent="0.35">
      <c r="A5" s="1" t="s">
        <v>20</v>
      </c>
      <c r="B5" s="1" t="s">
        <v>21</v>
      </c>
      <c r="C5" s="1" t="s">
        <v>22</v>
      </c>
      <c r="D5" s="1" t="s">
        <v>11</v>
      </c>
      <c r="E5" s="1">
        <v>17</v>
      </c>
      <c r="F5" s="1">
        <v>95</v>
      </c>
      <c r="G5" s="1">
        <v>9500</v>
      </c>
      <c r="H5" s="1">
        <v>100500</v>
      </c>
      <c r="J5" s="14"/>
      <c r="K5" s="6">
        <f ca="1">MONTH(K2)</f>
        <v>12</v>
      </c>
      <c r="L5" s="6" t="s">
        <v>185</v>
      </c>
      <c r="P5" s="1" t="s">
        <v>135</v>
      </c>
      <c r="Q5" s="1">
        <v>75000</v>
      </c>
    </row>
    <row r="6" spans="1:17" x14ac:dyDescent="0.35">
      <c r="A6" s="1" t="s">
        <v>23</v>
      </c>
      <c r="B6" s="1" t="s">
        <v>24</v>
      </c>
      <c r="C6" s="1" t="s">
        <v>10</v>
      </c>
      <c r="D6" s="1" t="s">
        <v>15</v>
      </c>
      <c r="E6" s="1">
        <v>15</v>
      </c>
      <c r="F6" s="1">
        <v>80</v>
      </c>
      <c r="G6" s="1">
        <v>8000</v>
      </c>
      <c r="H6" s="1">
        <v>82000</v>
      </c>
      <c r="J6" s="14"/>
      <c r="K6" s="6">
        <f ca="1">DAY(K2)</f>
        <v>6</v>
      </c>
      <c r="L6" s="6" t="s">
        <v>186</v>
      </c>
      <c r="P6" s="1" t="s">
        <v>136</v>
      </c>
      <c r="Q6" s="1">
        <v>100000</v>
      </c>
    </row>
    <row r="7" spans="1:17" x14ac:dyDescent="0.35">
      <c r="A7" s="1" t="s">
        <v>25</v>
      </c>
      <c r="B7" s="1" t="s">
        <v>26</v>
      </c>
      <c r="C7" s="1" t="s">
        <v>14</v>
      </c>
      <c r="D7" s="1" t="s">
        <v>19</v>
      </c>
      <c r="E7" s="1">
        <v>16</v>
      </c>
      <c r="F7" s="1">
        <v>88</v>
      </c>
      <c r="G7" s="1">
        <v>8800</v>
      </c>
      <c r="H7" s="1">
        <v>91200</v>
      </c>
      <c r="K7" s="14"/>
      <c r="M7" s="33"/>
      <c r="N7" s="33"/>
    </row>
    <row r="8" spans="1:17" x14ac:dyDescent="0.35">
      <c r="A8" s="1" t="s">
        <v>27</v>
      </c>
      <c r="B8" s="1" t="s">
        <v>28</v>
      </c>
      <c r="C8" s="1" t="s">
        <v>18</v>
      </c>
      <c r="D8" s="1" t="s">
        <v>11</v>
      </c>
      <c r="E8" s="1">
        <v>17</v>
      </c>
      <c r="F8" s="1">
        <v>75</v>
      </c>
      <c r="G8" s="1">
        <v>7500</v>
      </c>
      <c r="H8" s="1">
        <v>102500</v>
      </c>
    </row>
    <row r="9" spans="1:17" x14ac:dyDescent="0.35">
      <c r="A9" s="1" t="s">
        <v>29</v>
      </c>
      <c r="B9" s="1" t="s">
        <v>30</v>
      </c>
      <c r="C9" s="1" t="s">
        <v>22</v>
      </c>
      <c r="D9" s="1" t="s">
        <v>15</v>
      </c>
      <c r="E9" s="1">
        <v>14</v>
      </c>
      <c r="F9" s="1">
        <v>94</v>
      </c>
      <c r="G9" s="1">
        <v>9400</v>
      </c>
      <c r="H9" s="1">
        <v>80600</v>
      </c>
    </row>
    <row r="10" spans="1:17" x14ac:dyDescent="0.35">
      <c r="A10" s="1" t="s">
        <v>31</v>
      </c>
      <c r="B10" s="1" t="s">
        <v>32</v>
      </c>
      <c r="C10" s="1" t="s">
        <v>10</v>
      </c>
      <c r="D10" s="1" t="s">
        <v>19</v>
      </c>
      <c r="E10" s="1">
        <v>16</v>
      </c>
      <c r="F10" s="1">
        <v>85</v>
      </c>
      <c r="G10" s="1">
        <v>8500</v>
      </c>
      <c r="H10" s="1">
        <v>91500</v>
      </c>
      <c r="J10" s="18"/>
    </row>
    <row r="11" spans="1:17" x14ac:dyDescent="0.35">
      <c r="A11" s="1" t="s">
        <v>33</v>
      </c>
      <c r="B11" s="1" t="s">
        <v>34</v>
      </c>
      <c r="C11" s="1" t="s">
        <v>14</v>
      </c>
      <c r="D11" s="1" t="s">
        <v>11</v>
      </c>
      <c r="E11" s="1">
        <v>17</v>
      </c>
      <c r="F11" s="1">
        <v>91</v>
      </c>
      <c r="G11" s="1">
        <v>9100</v>
      </c>
      <c r="H11" s="1">
        <v>100900</v>
      </c>
      <c r="L11" s="25" t="s">
        <v>129</v>
      </c>
      <c r="M11" s="25"/>
      <c r="N11" s="25"/>
      <c r="O11" s="25"/>
    </row>
    <row r="12" spans="1:17" x14ac:dyDescent="0.35">
      <c r="A12" s="1" t="s">
        <v>35</v>
      </c>
      <c r="B12" s="1" t="s">
        <v>36</v>
      </c>
      <c r="C12" s="1" t="s">
        <v>18</v>
      </c>
      <c r="D12" s="1" t="s">
        <v>15</v>
      </c>
      <c r="E12" s="1">
        <v>15</v>
      </c>
      <c r="F12" s="1">
        <v>76</v>
      </c>
      <c r="G12" s="1">
        <v>7600</v>
      </c>
      <c r="H12" s="1">
        <v>82400</v>
      </c>
      <c r="L12" s="4" t="s">
        <v>132</v>
      </c>
      <c r="M12" s="5" t="s">
        <v>134</v>
      </c>
      <c r="N12" s="5" t="s">
        <v>135</v>
      </c>
      <c r="O12" s="5" t="s">
        <v>136</v>
      </c>
    </row>
    <row r="13" spans="1:17" x14ac:dyDescent="0.35">
      <c r="A13" s="1" t="s">
        <v>37</v>
      </c>
      <c r="B13" s="1" t="s">
        <v>38</v>
      </c>
      <c r="C13" s="1" t="s">
        <v>22</v>
      </c>
      <c r="D13" s="1" t="s">
        <v>19</v>
      </c>
      <c r="E13" s="1">
        <v>17</v>
      </c>
      <c r="F13" s="1">
        <v>84</v>
      </c>
      <c r="G13" s="1">
        <v>8400</v>
      </c>
      <c r="H13" s="1">
        <v>91600</v>
      </c>
      <c r="L13" s="4" t="s">
        <v>133</v>
      </c>
      <c r="M13" s="5">
        <v>5000</v>
      </c>
      <c r="N13" s="5">
        <v>75000</v>
      </c>
      <c r="O13" s="5">
        <v>100000</v>
      </c>
      <c r="Q13" s="6"/>
    </row>
    <row r="14" spans="1:17" x14ac:dyDescent="0.35">
      <c r="A14" s="1" t="s">
        <v>39</v>
      </c>
      <c r="B14" s="1" t="s">
        <v>40</v>
      </c>
      <c r="C14" s="1" t="s">
        <v>10</v>
      </c>
      <c r="D14" s="1" t="s">
        <v>11</v>
      </c>
      <c r="E14" s="1">
        <v>18</v>
      </c>
      <c r="F14" s="1">
        <v>97</v>
      </c>
      <c r="G14" s="1">
        <v>9700</v>
      </c>
      <c r="H14" s="1">
        <v>100300</v>
      </c>
    </row>
    <row r="15" spans="1:17" x14ac:dyDescent="0.35">
      <c r="A15" s="1" t="s">
        <v>41</v>
      </c>
      <c r="B15" s="1" t="s">
        <v>42</v>
      </c>
      <c r="C15" s="1" t="s">
        <v>14</v>
      </c>
      <c r="D15" s="1" t="s">
        <v>15</v>
      </c>
      <c r="E15" s="1">
        <v>14</v>
      </c>
      <c r="F15" s="1">
        <v>82</v>
      </c>
      <c r="G15" s="1">
        <v>8200</v>
      </c>
      <c r="H15" s="1">
        <v>81800</v>
      </c>
    </row>
    <row r="16" spans="1:17" x14ac:dyDescent="0.35">
      <c r="A16" s="1" t="s">
        <v>43</v>
      </c>
      <c r="B16" s="1" t="s">
        <v>44</v>
      </c>
      <c r="C16" s="1" t="s">
        <v>18</v>
      </c>
      <c r="D16" s="1" t="s">
        <v>19</v>
      </c>
      <c r="E16" s="1">
        <v>16</v>
      </c>
      <c r="F16" s="1">
        <v>89</v>
      </c>
      <c r="G16" s="1">
        <v>8900</v>
      </c>
      <c r="H16" s="1">
        <v>91100</v>
      </c>
    </row>
    <row r="17" spans="1:17" x14ac:dyDescent="0.35">
      <c r="A17" s="1" t="s">
        <v>45</v>
      </c>
      <c r="B17" s="1" t="s">
        <v>46</v>
      </c>
      <c r="C17" s="1" t="s">
        <v>22</v>
      </c>
      <c r="D17" s="1" t="s">
        <v>11</v>
      </c>
      <c r="E17" s="1">
        <v>17</v>
      </c>
      <c r="F17" s="1">
        <v>93</v>
      </c>
      <c r="G17" s="1">
        <v>9300</v>
      </c>
      <c r="H17" s="1">
        <v>100700</v>
      </c>
    </row>
    <row r="18" spans="1:17" x14ac:dyDescent="0.35">
      <c r="A18" s="1" t="s">
        <v>47</v>
      </c>
      <c r="B18" s="1" t="s">
        <v>48</v>
      </c>
      <c r="C18" s="1" t="s">
        <v>10</v>
      </c>
      <c r="D18" s="1" t="s">
        <v>15</v>
      </c>
      <c r="E18" s="1">
        <v>15</v>
      </c>
      <c r="F18" s="1">
        <v>79</v>
      </c>
      <c r="G18" s="1">
        <v>7900</v>
      </c>
      <c r="H18" s="1">
        <v>82100</v>
      </c>
      <c r="L18" s="26" t="s">
        <v>125</v>
      </c>
      <c r="M18" s="27"/>
      <c r="N18" s="27"/>
      <c r="O18" s="27"/>
      <c r="P18" s="27"/>
      <c r="Q18" s="27"/>
    </row>
    <row r="19" spans="1:17" x14ac:dyDescent="0.35">
      <c r="A19" s="1" t="s">
        <v>49</v>
      </c>
      <c r="B19" s="1" t="s">
        <v>50</v>
      </c>
      <c r="C19" s="1" t="s">
        <v>14</v>
      </c>
      <c r="D19" s="1" t="s">
        <v>19</v>
      </c>
      <c r="E19" s="1">
        <v>16</v>
      </c>
      <c r="F19" s="1">
        <v>87</v>
      </c>
      <c r="G19" s="1">
        <v>8700</v>
      </c>
      <c r="H19" s="1">
        <v>91300</v>
      </c>
      <c r="L19" s="21" t="s">
        <v>130</v>
      </c>
      <c r="M19" s="22"/>
      <c r="N19" s="22"/>
      <c r="O19" s="23"/>
      <c r="P19" s="8" t="s">
        <v>130</v>
      </c>
      <c r="Q19" s="8" t="s">
        <v>131</v>
      </c>
    </row>
    <row r="20" spans="1:17" x14ac:dyDescent="0.35">
      <c r="A20" s="1" t="s">
        <v>51</v>
      </c>
      <c r="B20" s="1" t="s">
        <v>52</v>
      </c>
      <c r="C20" s="1" t="s">
        <v>18</v>
      </c>
      <c r="D20" s="1" t="s">
        <v>11</v>
      </c>
      <c r="E20" s="1">
        <v>17</v>
      </c>
      <c r="F20" s="1">
        <v>90</v>
      </c>
      <c r="G20" s="1">
        <v>9000</v>
      </c>
      <c r="H20" s="1">
        <v>101000</v>
      </c>
      <c r="L20" s="3" t="s">
        <v>126</v>
      </c>
      <c r="M20" s="3" t="s">
        <v>127</v>
      </c>
      <c r="N20" s="3" t="s">
        <v>128</v>
      </c>
      <c r="O20" s="3" t="s">
        <v>3</v>
      </c>
      <c r="P20" s="3" t="s">
        <v>129</v>
      </c>
      <c r="Q20" s="3" t="s">
        <v>129</v>
      </c>
    </row>
    <row r="21" spans="1:17" x14ac:dyDescent="0.35">
      <c r="A21" s="1" t="s">
        <v>53</v>
      </c>
      <c r="B21" s="1" t="s">
        <v>54</v>
      </c>
      <c r="C21" s="1" t="s">
        <v>10</v>
      </c>
      <c r="D21" s="1" t="s">
        <v>15</v>
      </c>
      <c r="E21" s="1">
        <v>14</v>
      </c>
      <c r="F21" s="1">
        <v>81</v>
      </c>
      <c r="G21" s="1">
        <v>8100</v>
      </c>
      <c r="H21" s="1">
        <v>81900</v>
      </c>
      <c r="L21" s="1" t="s">
        <v>27</v>
      </c>
      <c r="M21" s="1" t="str">
        <f>VLOOKUP(L21,Table5[#All],2,FALSE)</f>
        <v>Ananya</v>
      </c>
      <c r="N21" s="1" t="str">
        <f>VLOOKUP($L21,Table5[#All],3,FALSE)</f>
        <v>Velachery</v>
      </c>
      <c r="O21" s="1" t="str">
        <f>VLOOKUP(L21,Table5[#All],4,FALSE)</f>
        <v>Class XII</v>
      </c>
      <c r="P21" s="1">
        <f>VLOOKUP(O21,$P$3:$Q$6,2,FALSE)</f>
        <v>100000</v>
      </c>
      <c r="Q21" s="1">
        <f>HLOOKUP(O21,$L$12:$O$13,2,FALSE)</f>
        <v>100000</v>
      </c>
    </row>
    <row r="22" spans="1:17" x14ac:dyDescent="0.35">
      <c r="A22" s="1" t="s">
        <v>55</v>
      </c>
      <c r="B22" s="1" t="s">
        <v>56</v>
      </c>
      <c r="C22" s="1" t="s">
        <v>22</v>
      </c>
      <c r="D22" s="1" t="s">
        <v>19</v>
      </c>
      <c r="E22" s="1">
        <v>16</v>
      </c>
      <c r="F22" s="1">
        <v>96</v>
      </c>
      <c r="G22" s="1">
        <v>9600</v>
      </c>
      <c r="H22" s="1">
        <v>90400</v>
      </c>
      <c r="K22" t="s">
        <v>193</v>
      </c>
      <c r="L22" s="1" t="s">
        <v>37</v>
      </c>
      <c r="M22" s="1" t="str">
        <f>VLOOKUP(L22,Table5[#All],2,FALSE)</f>
        <v>Ishaan</v>
      </c>
      <c r="N22" s="1" t="str">
        <f>VLOOKUP($L22,Table5[#All],3,FALSE)</f>
        <v>Tambaram</v>
      </c>
      <c r="O22" s="1" t="str">
        <f>VLOOKUP(L22,Table5[#All],4,FALSE)</f>
        <v>Class XI</v>
      </c>
      <c r="P22" s="1">
        <f t="shared" ref="P22:P32" si="0">VLOOKUP(O22,$P$3:$Q$6,2,FALSE)</f>
        <v>75000</v>
      </c>
      <c r="Q22" s="1">
        <f t="shared" ref="Q22:Q32" si="1">HLOOKUP(O22,$L$12:$O$13,2,FALSE)</f>
        <v>75000</v>
      </c>
    </row>
    <row r="23" spans="1:17" x14ac:dyDescent="0.35">
      <c r="A23" s="1" t="s">
        <v>57</v>
      </c>
      <c r="B23" s="1" t="s">
        <v>58</v>
      </c>
      <c r="C23" s="1" t="s">
        <v>14</v>
      </c>
      <c r="D23" s="1" t="s">
        <v>11</v>
      </c>
      <c r="E23" s="1">
        <v>17</v>
      </c>
      <c r="F23" s="1">
        <v>77</v>
      </c>
      <c r="G23" s="1">
        <v>7700</v>
      </c>
      <c r="H23" s="1">
        <v>102300</v>
      </c>
      <c r="L23" s="1" t="s">
        <v>39</v>
      </c>
      <c r="M23" s="1" t="str">
        <f>VLOOKUP(L23,Table5[#All],2,FALSE)</f>
        <v>Bhavya</v>
      </c>
      <c r="N23" s="1" t="str">
        <f>VLOOKUP($L23,Table5[#All],3,FALSE)</f>
        <v>Anna Nagar</v>
      </c>
      <c r="O23" s="1" t="str">
        <f>VLOOKUP(L23,Table5[#All],4,FALSE)</f>
        <v>Class XII</v>
      </c>
      <c r="P23" s="1">
        <f t="shared" si="0"/>
        <v>100000</v>
      </c>
      <c r="Q23" s="1">
        <f t="shared" si="1"/>
        <v>100000</v>
      </c>
    </row>
    <row r="24" spans="1:17" x14ac:dyDescent="0.35">
      <c r="A24" s="1" t="s">
        <v>59</v>
      </c>
      <c r="B24" s="1" t="s">
        <v>60</v>
      </c>
      <c r="C24" s="1" t="s">
        <v>18</v>
      </c>
      <c r="D24" s="1" t="s">
        <v>15</v>
      </c>
      <c r="E24" s="1">
        <v>15</v>
      </c>
      <c r="F24" s="1">
        <v>89</v>
      </c>
      <c r="G24" s="1">
        <v>8900</v>
      </c>
      <c r="H24" s="1">
        <v>81100</v>
      </c>
      <c r="L24" s="1" t="s">
        <v>65</v>
      </c>
      <c r="M24" s="1" t="str">
        <f>VLOOKUP(L24,Table5[#All],2,FALSE)</f>
        <v>Natasha</v>
      </c>
      <c r="N24" s="1" t="str">
        <f>VLOOKUP($L24,Table5[#All],3,FALSE)</f>
        <v>T. Nagar</v>
      </c>
      <c r="O24" s="1" t="str">
        <f>VLOOKUP(L24,Table5[#All],4,FALSE)</f>
        <v>Class X</v>
      </c>
      <c r="P24" s="1">
        <f t="shared" si="0"/>
        <v>5000</v>
      </c>
      <c r="Q24" s="1">
        <f t="shared" si="1"/>
        <v>5000</v>
      </c>
    </row>
    <row r="25" spans="1:17" x14ac:dyDescent="0.35">
      <c r="A25" s="1" t="s">
        <v>61</v>
      </c>
      <c r="B25" s="1" t="s">
        <v>62</v>
      </c>
      <c r="C25" s="1" t="s">
        <v>22</v>
      </c>
      <c r="D25" s="1" t="s">
        <v>19</v>
      </c>
      <c r="E25" s="1">
        <v>16</v>
      </c>
      <c r="F25" s="1">
        <v>85</v>
      </c>
      <c r="G25" s="1">
        <v>8500</v>
      </c>
      <c r="H25" s="1">
        <v>91500</v>
      </c>
      <c r="L25" s="1" t="s">
        <v>75</v>
      </c>
      <c r="M25" s="1" t="str">
        <f>VLOOKUP(L25,Table5[#All],2,FALSE)</f>
        <v>Navya</v>
      </c>
      <c r="N25" s="1" t="str">
        <f>VLOOKUP($L25,Table5[#All],3,FALSE)</f>
        <v>Velachery</v>
      </c>
      <c r="O25" s="1" t="str">
        <f>VLOOKUP(L25,Table5[#All],4,FALSE)</f>
        <v>Class XII</v>
      </c>
      <c r="P25" s="1">
        <f t="shared" si="0"/>
        <v>100000</v>
      </c>
      <c r="Q25" s="1">
        <f t="shared" si="1"/>
        <v>100000</v>
      </c>
    </row>
    <row r="26" spans="1:17" x14ac:dyDescent="0.35">
      <c r="A26" s="1" t="s">
        <v>63</v>
      </c>
      <c r="B26" s="1" t="s">
        <v>64</v>
      </c>
      <c r="C26" s="1" t="s">
        <v>10</v>
      </c>
      <c r="D26" s="1" t="s">
        <v>11</v>
      </c>
      <c r="E26" s="1">
        <v>18</v>
      </c>
      <c r="F26" s="1">
        <v>92</v>
      </c>
      <c r="G26" s="1">
        <v>9200</v>
      </c>
      <c r="H26" s="1">
        <v>100800</v>
      </c>
      <c r="L26" s="1" t="s">
        <v>81</v>
      </c>
      <c r="M26" s="1" t="str">
        <f>VLOOKUP(L26,Table5[#All],2,FALSE)</f>
        <v>Lavanya</v>
      </c>
      <c r="N26" s="1" t="str">
        <f>VLOOKUP($L26,Table5[#All],3,FALSE)</f>
        <v>T. Nagar</v>
      </c>
      <c r="O26" s="1" t="str">
        <f>VLOOKUP(L26,Table5[#All],4,FALSE)</f>
        <v>Class XII</v>
      </c>
      <c r="P26" s="1">
        <f t="shared" si="0"/>
        <v>100000</v>
      </c>
      <c r="Q26" s="1">
        <f t="shared" si="1"/>
        <v>100000</v>
      </c>
    </row>
    <row r="27" spans="1:17" x14ac:dyDescent="0.35">
      <c r="A27" s="1" t="s">
        <v>65</v>
      </c>
      <c r="B27" s="1" t="s">
        <v>66</v>
      </c>
      <c r="C27" s="1" t="s">
        <v>14</v>
      </c>
      <c r="D27" s="1" t="s">
        <v>15</v>
      </c>
      <c r="E27" s="1">
        <v>14</v>
      </c>
      <c r="F27" s="1">
        <v>78</v>
      </c>
      <c r="G27" s="1">
        <v>7800</v>
      </c>
      <c r="H27" s="1">
        <v>82200</v>
      </c>
      <c r="L27" s="1" t="s">
        <v>99</v>
      </c>
      <c r="M27" s="1" t="str">
        <f>VLOOKUP(L27,Table5[#All],2,FALSE)</f>
        <v>Vimal</v>
      </c>
      <c r="N27" s="1" t="str">
        <f>VLOOKUP($L27,Table5[#All],3,FALSE)</f>
        <v>Velachery</v>
      </c>
      <c r="O27" s="1" t="str">
        <f>VLOOKUP(L27,Table5[#All],4,FALSE)</f>
        <v>Class XII</v>
      </c>
      <c r="P27" s="1">
        <f t="shared" si="0"/>
        <v>100000</v>
      </c>
      <c r="Q27" s="1">
        <f t="shared" si="1"/>
        <v>100000</v>
      </c>
    </row>
    <row r="28" spans="1:17" x14ac:dyDescent="0.35">
      <c r="A28" s="1" t="s">
        <v>67</v>
      </c>
      <c r="B28" s="1" t="s">
        <v>68</v>
      </c>
      <c r="C28" s="1" t="s">
        <v>18</v>
      </c>
      <c r="D28" s="1" t="s">
        <v>19</v>
      </c>
      <c r="E28" s="1">
        <v>16</v>
      </c>
      <c r="F28" s="1">
        <v>86</v>
      </c>
      <c r="G28" s="1">
        <v>8600</v>
      </c>
      <c r="H28" s="1">
        <v>91400</v>
      </c>
      <c r="L28" s="1" t="s">
        <v>103</v>
      </c>
      <c r="M28" s="1" t="str">
        <f>VLOOKUP(L28,Table5[#All],2,FALSE)</f>
        <v>Shreya</v>
      </c>
      <c r="N28" s="1" t="str">
        <f>VLOOKUP($L28,Table5[#All],3,FALSE)</f>
        <v>Tambaram</v>
      </c>
      <c r="O28" s="1" t="str">
        <f>VLOOKUP(L28,Table5[#All],4,FALSE)</f>
        <v>Class XI</v>
      </c>
      <c r="P28" s="1">
        <f t="shared" si="0"/>
        <v>75000</v>
      </c>
      <c r="Q28" s="1">
        <f t="shared" si="1"/>
        <v>75000</v>
      </c>
    </row>
    <row r="29" spans="1:17" x14ac:dyDescent="0.35">
      <c r="A29" s="1" t="s">
        <v>69</v>
      </c>
      <c r="B29" s="1" t="s">
        <v>70</v>
      </c>
      <c r="C29" s="1" t="s">
        <v>22</v>
      </c>
      <c r="D29" s="1" t="s">
        <v>11</v>
      </c>
      <c r="E29" s="1">
        <v>17</v>
      </c>
      <c r="F29" s="1">
        <v>95</v>
      </c>
      <c r="G29" s="1">
        <v>9500</v>
      </c>
      <c r="H29" s="1">
        <v>100500</v>
      </c>
      <c r="L29" s="1" t="s">
        <v>111</v>
      </c>
      <c r="M29" s="1" t="str">
        <f>VLOOKUP(L29,Table5[#All],2,FALSE)</f>
        <v>Diya</v>
      </c>
      <c r="N29" s="1" t="str">
        <f>VLOOKUP($L29,Table5[#All],3,FALSE)</f>
        <v>Anna Nagar</v>
      </c>
      <c r="O29" s="1" t="str">
        <f>VLOOKUP(L29,Table5[#All],4,FALSE)</f>
        <v>Class XII</v>
      </c>
      <c r="P29" s="1">
        <f t="shared" si="0"/>
        <v>100000</v>
      </c>
      <c r="Q29" s="1">
        <f t="shared" si="1"/>
        <v>100000</v>
      </c>
    </row>
    <row r="30" spans="1:17" x14ac:dyDescent="0.35">
      <c r="A30" s="1" t="s">
        <v>71</v>
      </c>
      <c r="B30" s="1" t="s">
        <v>72</v>
      </c>
      <c r="C30" s="1" t="s">
        <v>10</v>
      </c>
      <c r="D30" s="1" t="s">
        <v>15</v>
      </c>
      <c r="E30" s="1">
        <v>15</v>
      </c>
      <c r="F30" s="1">
        <v>80</v>
      </c>
      <c r="G30" s="1">
        <v>8000</v>
      </c>
      <c r="H30" s="1">
        <v>82000</v>
      </c>
      <c r="L30" s="1" t="s">
        <v>117</v>
      </c>
      <c r="M30" s="1" t="str">
        <f>VLOOKUP(L30,Table5[#All],2,FALSE)</f>
        <v>Saanvi</v>
      </c>
      <c r="N30" s="1" t="str">
        <f>VLOOKUP($L30,Table5[#All],3,FALSE)</f>
        <v>Tambaram</v>
      </c>
      <c r="O30" s="1" t="str">
        <f>VLOOKUP(L30,Table5[#All],4,FALSE)</f>
        <v>Class XII</v>
      </c>
      <c r="P30" s="1">
        <f t="shared" si="0"/>
        <v>100000</v>
      </c>
      <c r="Q30" s="1">
        <f t="shared" si="1"/>
        <v>100000</v>
      </c>
    </row>
    <row r="31" spans="1:17" x14ac:dyDescent="0.35">
      <c r="A31" s="1" t="s">
        <v>73</v>
      </c>
      <c r="B31" s="1" t="s">
        <v>74</v>
      </c>
      <c r="C31" s="1" t="s">
        <v>14</v>
      </c>
      <c r="D31" s="1" t="s">
        <v>19</v>
      </c>
      <c r="E31" s="1">
        <v>16</v>
      </c>
      <c r="F31" s="1">
        <v>88</v>
      </c>
      <c r="G31" s="1">
        <v>8800</v>
      </c>
      <c r="H31" s="1">
        <v>91200</v>
      </c>
      <c r="L31" s="1" t="s">
        <v>119</v>
      </c>
      <c r="M31" s="1" t="str">
        <f>VLOOKUP(L31,Table5[#All],2,FALSE)</f>
        <v>Peter</v>
      </c>
      <c r="N31" s="1" t="str">
        <f>VLOOKUP($L31,Table5[#All],3,FALSE)</f>
        <v>Anna Nagar</v>
      </c>
      <c r="O31" s="1" t="str">
        <f>VLOOKUP(L31,Table5[#All],4,FALSE)</f>
        <v>Class X</v>
      </c>
      <c r="P31" s="1">
        <f t="shared" si="0"/>
        <v>5000</v>
      </c>
      <c r="Q31" s="1">
        <f t="shared" si="1"/>
        <v>5000</v>
      </c>
    </row>
    <row r="32" spans="1:17" x14ac:dyDescent="0.35">
      <c r="A32" s="1" t="s">
        <v>75</v>
      </c>
      <c r="B32" s="1" t="s">
        <v>76</v>
      </c>
      <c r="C32" s="1" t="s">
        <v>18</v>
      </c>
      <c r="D32" s="1" t="s">
        <v>11</v>
      </c>
      <c r="E32" s="1">
        <v>17</v>
      </c>
      <c r="F32" s="1">
        <v>79</v>
      </c>
      <c r="G32" s="1">
        <v>7900</v>
      </c>
      <c r="H32" s="1">
        <v>102100</v>
      </c>
      <c r="L32" s="1" t="s">
        <v>121</v>
      </c>
      <c r="M32" s="1" t="str">
        <f>VLOOKUP(L32,Table5[#All],2,FALSE)</f>
        <v>Zara</v>
      </c>
      <c r="N32" s="1" t="str">
        <f>VLOOKUP($L32,Table5[#All],3,FALSE)</f>
        <v>T. Nagar</v>
      </c>
      <c r="O32" s="1" t="str">
        <f>VLOOKUP(L32,Table5[#All],4,FALSE)</f>
        <v>Class XI</v>
      </c>
      <c r="P32" s="1">
        <f t="shared" si="0"/>
        <v>75000</v>
      </c>
      <c r="Q32" s="1">
        <f t="shared" si="1"/>
        <v>75000</v>
      </c>
    </row>
    <row r="33" spans="1:16" x14ac:dyDescent="0.35">
      <c r="A33" s="1" t="s">
        <v>77</v>
      </c>
      <c r="B33" s="1" t="s">
        <v>78</v>
      </c>
      <c r="C33" s="1" t="s">
        <v>10</v>
      </c>
      <c r="D33" s="1" t="s">
        <v>15</v>
      </c>
      <c r="E33" s="1">
        <v>15</v>
      </c>
      <c r="F33" s="1">
        <v>94</v>
      </c>
      <c r="G33" s="1">
        <v>9400</v>
      </c>
      <c r="H33" s="1">
        <v>80600</v>
      </c>
    </row>
    <row r="34" spans="1:16" x14ac:dyDescent="0.35">
      <c r="A34" s="1" t="s">
        <v>79</v>
      </c>
      <c r="B34" s="1" t="s">
        <v>80</v>
      </c>
      <c r="C34" s="1" t="s">
        <v>22</v>
      </c>
      <c r="D34" s="1" t="s">
        <v>19</v>
      </c>
      <c r="E34" s="1">
        <v>17</v>
      </c>
      <c r="F34" s="1">
        <v>85</v>
      </c>
      <c r="G34" s="1">
        <v>8500</v>
      </c>
      <c r="H34" s="1">
        <v>91500</v>
      </c>
    </row>
    <row r="35" spans="1:16" x14ac:dyDescent="0.35">
      <c r="A35" s="1" t="s">
        <v>81</v>
      </c>
      <c r="B35" s="1" t="s">
        <v>82</v>
      </c>
      <c r="C35" s="1" t="s">
        <v>14</v>
      </c>
      <c r="D35" s="1" t="s">
        <v>11</v>
      </c>
      <c r="E35" s="1">
        <v>18</v>
      </c>
      <c r="F35" s="1">
        <v>91</v>
      </c>
      <c r="G35" s="1">
        <v>9100</v>
      </c>
      <c r="H35" s="1">
        <v>100900</v>
      </c>
    </row>
    <row r="36" spans="1:16" x14ac:dyDescent="0.35">
      <c r="A36" s="1" t="s">
        <v>83</v>
      </c>
      <c r="B36" s="1" t="s">
        <v>84</v>
      </c>
      <c r="C36" s="1" t="s">
        <v>18</v>
      </c>
      <c r="D36" s="1" t="s">
        <v>15</v>
      </c>
      <c r="E36" s="1">
        <v>14</v>
      </c>
      <c r="F36" s="1">
        <v>76</v>
      </c>
      <c r="G36" s="1">
        <v>7600</v>
      </c>
      <c r="H36" s="1">
        <v>82400</v>
      </c>
      <c r="L36" s="24" t="s">
        <v>125</v>
      </c>
      <c r="M36" s="24"/>
      <c r="N36" s="24"/>
      <c r="O36" s="24"/>
      <c r="P36" s="24"/>
    </row>
    <row r="37" spans="1:16" x14ac:dyDescent="0.35">
      <c r="A37" s="1" t="s">
        <v>85</v>
      </c>
      <c r="B37" s="1" t="s">
        <v>86</v>
      </c>
      <c r="C37" s="1" t="s">
        <v>22</v>
      </c>
      <c r="D37" s="1" t="s">
        <v>19</v>
      </c>
      <c r="E37" s="1">
        <v>16</v>
      </c>
      <c r="F37" s="1">
        <v>84</v>
      </c>
      <c r="G37" s="1">
        <v>8400</v>
      </c>
      <c r="H37" s="1">
        <v>91600</v>
      </c>
      <c r="L37" s="21" t="s">
        <v>137</v>
      </c>
      <c r="M37" s="22"/>
      <c r="N37" s="22"/>
      <c r="O37" s="23"/>
      <c r="P37" s="8" t="s">
        <v>137</v>
      </c>
    </row>
    <row r="38" spans="1:16" x14ac:dyDescent="0.35">
      <c r="A38" s="1" t="s">
        <v>87</v>
      </c>
      <c r="B38" s="1" t="s">
        <v>88</v>
      </c>
      <c r="C38" s="1" t="s">
        <v>10</v>
      </c>
      <c r="D38" s="1" t="s">
        <v>11</v>
      </c>
      <c r="E38" s="1">
        <v>17</v>
      </c>
      <c r="F38" s="1">
        <v>97</v>
      </c>
      <c r="G38" s="1">
        <v>9700</v>
      </c>
      <c r="H38" s="1">
        <v>100300</v>
      </c>
      <c r="L38" s="3" t="s">
        <v>126</v>
      </c>
      <c r="M38" s="3" t="s">
        <v>127</v>
      </c>
      <c r="N38" s="3" t="s">
        <v>128</v>
      </c>
      <c r="O38" s="3" t="s">
        <v>3</v>
      </c>
      <c r="P38" s="3" t="s">
        <v>129</v>
      </c>
    </row>
    <row r="39" spans="1:16" x14ac:dyDescent="0.35">
      <c r="A39" s="1" t="s">
        <v>89</v>
      </c>
      <c r="B39" s="1" t="s">
        <v>90</v>
      </c>
      <c r="C39" s="1" t="s">
        <v>14</v>
      </c>
      <c r="D39" s="1" t="s">
        <v>15</v>
      </c>
      <c r="E39" s="1">
        <v>14</v>
      </c>
      <c r="F39" s="1">
        <v>82</v>
      </c>
      <c r="G39" s="1">
        <v>8200</v>
      </c>
      <c r="H39" s="1">
        <v>81800</v>
      </c>
      <c r="L39" s="1" t="s">
        <v>27</v>
      </c>
      <c r="M39" s="1"/>
      <c r="N39" s="1"/>
      <c r="O39" s="1"/>
      <c r="P39" s="1"/>
    </row>
    <row r="40" spans="1:16" x14ac:dyDescent="0.35">
      <c r="A40" s="1" t="s">
        <v>91</v>
      </c>
      <c r="B40" s="1" t="s">
        <v>92</v>
      </c>
      <c r="C40" s="1" t="s">
        <v>18</v>
      </c>
      <c r="D40" s="1" t="s">
        <v>19</v>
      </c>
      <c r="E40" s="1">
        <v>16</v>
      </c>
      <c r="F40" s="1">
        <v>89</v>
      </c>
      <c r="G40" s="1">
        <v>8900</v>
      </c>
      <c r="H40" s="1">
        <v>91100</v>
      </c>
      <c r="L40" s="1" t="s">
        <v>37</v>
      </c>
      <c r="M40" s="1"/>
      <c r="N40" s="1"/>
      <c r="O40" s="1"/>
      <c r="P40" s="1"/>
    </row>
    <row r="41" spans="1:16" x14ac:dyDescent="0.35">
      <c r="A41" s="1" t="s">
        <v>93</v>
      </c>
      <c r="B41" s="1" t="s">
        <v>94</v>
      </c>
      <c r="C41" s="1" t="s">
        <v>22</v>
      </c>
      <c r="D41" s="1" t="s">
        <v>11</v>
      </c>
      <c r="E41" s="1">
        <v>17</v>
      </c>
      <c r="F41" s="1">
        <v>93</v>
      </c>
      <c r="G41" s="1">
        <v>9300</v>
      </c>
      <c r="H41" s="1">
        <v>100700</v>
      </c>
      <c r="L41" s="1" t="s">
        <v>39</v>
      </c>
      <c r="M41" s="1"/>
      <c r="N41" s="1"/>
      <c r="O41" s="1"/>
      <c r="P41" s="1"/>
    </row>
    <row r="42" spans="1:16" x14ac:dyDescent="0.35">
      <c r="A42" s="1" t="s">
        <v>95</v>
      </c>
      <c r="B42" s="1" t="s">
        <v>96</v>
      </c>
      <c r="C42" s="1" t="s">
        <v>10</v>
      </c>
      <c r="D42" s="1" t="s">
        <v>15</v>
      </c>
      <c r="E42" s="1">
        <v>15</v>
      </c>
      <c r="F42" s="1">
        <v>79</v>
      </c>
      <c r="G42" s="1">
        <v>7900</v>
      </c>
      <c r="H42" s="1">
        <v>82100</v>
      </c>
      <c r="L42" s="1" t="s">
        <v>65</v>
      </c>
      <c r="M42" s="1"/>
      <c r="N42" s="1"/>
      <c r="O42" s="1"/>
      <c r="P42" s="1"/>
    </row>
    <row r="43" spans="1:16" x14ac:dyDescent="0.35">
      <c r="A43" s="1" t="s">
        <v>97</v>
      </c>
      <c r="B43" s="1" t="s">
        <v>98</v>
      </c>
      <c r="C43" s="1" t="s">
        <v>14</v>
      </c>
      <c r="D43" s="1" t="s">
        <v>19</v>
      </c>
      <c r="E43" s="1">
        <v>16</v>
      </c>
      <c r="F43" s="1">
        <v>87</v>
      </c>
      <c r="G43" s="1">
        <v>8700</v>
      </c>
      <c r="H43" s="1">
        <v>91300</v>
      </c>
      <c r="L43" s="1" t="s">
        <v>75</v>
      </c>
      <c r="M43" s="1"/>
      <c r="N43" s="1"/>
      <c r="O43" s="1"/>
      <c r="P43" s="1"/>
    </row>
    <row r="44" spans="1:16" x14ac:dyDescent="0.35">
      <c r="A44" s="1" t="s">
        <v>99</v>
      </c>
      <c r="B44" s="1" t="s">
        <v>100</v>
      </c>
      <c r="C44" s="1" t="s">
        <v>18</v>
      </c>
      <c r="D44" s="1" t="s">
        <v>11</v>
      </c>
      <c r="E44" s="1">
        <v>17</v>
      </c>
      <c r="F44" s="1">
        <v>90</v>
      </c>
      <c r="G44" s="1">
        <v>9000</v>
      </c>
      <c r="H44" s="1">
        <v>101000</v>
      </c>
      <c r="L44" s="1" t="s">
        <v>81</v>
      </c>
      <c r="M44" s="1"/>
      <c r="N44" s="1"/>
      <c r="O44" s="1"/>
      <c r="P44" s="1"/>
    </row>
    <row r="45" spans="1:16" x14ac:dyDescent="0.35">
      <c r="A45" s="1" t="s">
        <v>101</v>
      </c>
      <c r="B45" s="1" t="s">
        <v>102</v>
      </c>
      <c r="C45" s="1" t="s">
        <v>10</v>
      </c>
      <c r="D45" s="1" t="s">
        <v>15</v>
      </c>
      <c r="E45" s="1">
        <v>14</v>
      </c>
      <c r="F45" s="1">
        <v>81</v>
      </c>
      <c r="G45" s="1">
        <v>8100</v>
      </c>
      <c r="H45" s="1">
        <v>81900</v>
      </c>
      <c r="L45" s="1" t="s">
        <v>99</v>
      </c>
      <c r="M45" s="1"/>
      <c r="N45" s="1"/>
      <c r="O45" s="1"/>
      <c r="P45" s="1"/>
    </row>
    <row r="46" spans="1:16" x14ac:dyDescent="0.35">
      <c r="A46" s="1" t="s">
        <v>103</v>
      </c>
      <c r="B46" s="1" t="s">
        <v>104</v>
      </c>
      <c r="C46" s="1" t="s">
        <v>22</v>
      </c>
      <c r="D46" s="1" t="s">
        <v>19</v>
      </c>
      <c r="E46" s="1">
        <v>16</v>
      </c>
      <c r="F46" s="1">
        <v>96</v>
      </c>
      <c r="G46" s="1">
        <v>9600</v>
      </c>
      <c r="H46" s="1">
        <v>90400</v>
      </c>
      <c r="L46" s="1" t="s">
        <v>103</v>
      </c>
      <c r="M46" s="1"/>
      <c r="N46" s="1"/>
      <c r="O46" s="1"/>
      <c r="P46" s="1"/>
    </row>
    <row r="47" spans="1:16" x14ac:dyDescent="0.35">
      <c r="A47" s="1" t="s">
        <v>105</v>
      </c>
      <c r="B47" s="1" t="s">
        <v>106</v>
      </c>
      <c r="C47" s="1" t="s">
        <v>14</v>
      </c>
      <c r="D47" s="1" t="s">
        <v>11</v>
      </c>
      <c r="E47" s="1">
        <v>17</v>
      </c>
      <c r="F47" s="1">
        <v>76</v>
      </c>
      <c r="G47" s="1">
        <v>7600</v>
      </c>
      <c r="H47" s="1">
        <v>102400</v>
      </c>
      <c r="L47" s="1" t="s">
        <v>111</v>
      </c>
      <c r="M47" s="1"/>
      <c r="N47" s="1"/>
      <c r="O47" s="1"/>
      <c r="P47" s="1"/>
    </row>
    <row r="48" spans="1:16" x14ac:dyDescent="0.35">
      <c r="A48" s="1" t="s">
        <v>107</v>
      </c>
      <c r="B48" s="1" t="s">
        <v>108</v>
      </c>
      <c r="C48" s="1" t="s">
        <v>18</v>
      </c>
      <c r="D48" s="1" t="s">
        <v>15</v>
      </c>
      <c r="E48" s="1">
        <v>15</v>
      </c>
      <c r="F48" s="1">
        <v>89</v>
      </c>
      <c r="G48" s="1">
        <v>8900</v>
      </c>
      <c r="H48" s="1">
        <v>81100</v>
      </c>
      <c r="L48" s="1" t="s">
        <v>117</v>
      </c>
      <c r="M48" s="1"/>
      <c r="N48" s="1"/>
      <c r="O48" s="1"/>
      <c r="P48" s="1"/>
    </row>
    <row r="49" spans="1:16" x14ac:dyDescent="0.35">
      <c r="A49" s="1" t="s">
        <v>109</v>
      </c>
      <c r="B49" s="1" t="s">
        <v>110</v>
      </c>
      <c r="C49" s="1" t="s">
        <v>22</v>
      </c>
      <c r="D49" s="1" t="s">
        <v>19</v>
      </c>
      <c r="E49" s="1">
        <v>16</v>
      </c>
      <c r="F49" s="1">
        <v>85</v>
      </c>
      <c r="G49" s="1">
        <v>8500</v>
      </c>
      <c r="H49" s="1">
        <v>91500</v>
      </c>
      <c r="L49" s="1" t="s">
        <v>119</v>
      </c>
      <c r="M49" s="1"/>
      <c r="N49" s="1"/>
      <c r="O49" s="1"/>
      <c r="P49" s="1"/>
    </row>
    <row r="50" spans="1:16" x14ac:dyDescent="0.35">
      <c r="A50" s="1" t="s">
        <v>111</v>
      </c>
      <c r="B50" s="1" t="s">
        <v>112</v>
      </c>
      <c r="C50" s="1" t="s">
        <v>10</v>
      </c>
      <c r="D50" s="1" t="s">
        <v>11</v>
      </c>
      <c r="E50" s="1">
        <v>18</v>
      </c>
      <c r="F50" s="1">
        <v>92</v>
      </c>
      <c r="G50" s="1">
        <v>9200</v>
      </c>
      <c r="H50" s="1">
        <v>100800</v>
      </c>
      <c r="L50" s="1" t="s">
        <v>121</v>
      </c>
      <c r="M50" s="1"/>
      <c r="N50" s="1"/>
      <c r="O50" s="1"/>
      <c r="P50" s="1"/>
    </row>
    <row r="51" spans="1:16" x14ac:dyDescent="0.35">
      <c r="A51" s="1" t="s">
        <v>113</v>
      </c>
      <c r="B51" s="1" t="s">
        <v>114</v>
      </c>
      <c r="C51" s="1" t="s">
        <v>14</v>
      </c>
      <c r="D51" s="1" t="s">
        <v>15</v>
      </c>
      <c r="E51" s="1">
        <v>14</v>
      </c>
      <c r="F51" s="1">
        <v>78</v>
      </c>
      <c r="G51" s="1">
        <v>7800</v>
      </c>
      <c r="H51" s="1">
        <v>82200</v>
      </c>
    </row>
    <row r="52" spans="1:16" x14ac:dyDescent="0.35">
      <c r="A52" s="1" t="s">
        <v>115</v>
      </c>
      <c r="B52" s="1" t="s">
        <v>116</v>
      </c>
      <c r="C52" s="1" t="s">
        <v>18</v>
      </c>
      <c r="D52" s="1" t="s">
        <v>19</v>
      </c>
      <c r="E52" s="1">
        <v>16</v>
      </c>
      <c r="F52" s="1">
        <v>86</v>
      </c>
      <c r="G52" s="1">
        <v>8600</v>
      </c>
      <c r="H52" s="1">
        <v>91400</v>
      </c>
    </row>
    <row r="53" spans="1:16" x14ac:dyDescent="0.35">
      <c r="A53" s="1" t="s">
        <v>117</v>
      </c>
      <c r="B53" s="1" t="s">
        <v>118</v>
      </c>
      <c r="C53" s="1" t="s">
        <v>22</v>
      </c>
      <c r="D53" s="1" t="s">
        <v>11</v>
      </c>
      <c r="E53" s="1">
        <v>17</v>
      </c>
      <c r="F53" s="1">
        <v>95</v>
      </c>
      <c r="G53" s="1">
        <v>9500</v>
      </c>
      <c r="H53" s="1">
        <v>100500</v>
      </c>
    </row>
    <row r="54" spans="1:16" x14ac:dyDescent="0.35">
      <c r="A54" s="1" t="s">
        <v>119</v>
      </c>
      <c r="B54" s="1" t="s">
        <v>120</v>
      </c>
      <c r="C54" s="1" t="s">
        <v>10</v>
      </c>
      <c r="D54" s="1" t="s">
        <v>15</v>
      </c>
      <c r="E54" s="1">
        <v>15</v>
      </c>
      <c r="F54" s="1">
        <v>80</v>
      </c>
      <c r="G54" s="1">
        <v>8000</v>
      </c>
      <c r="H54" s="1">
        <v>82000</v>
      </c>
    </row>
    <row r="55" spans="1:16" x14ac:dyDescent="0.35">
      <c r="A55" s="1" t="s">
        <v>121</v>
      </c>
      <c r="B55" s="1" t="s">
        <v>122</v>
      </c>
      <c r="C55" s="1" t="s">
        <v>14</v>
      </c>
      <c r="D55" s="1" t="s">
        <v>19</v>
      </c>
      <c r="E55" s="1">
        <v>16</v>
      </c>
      <c r="F55" s="1">
        <v>88</v>
      </c>
      <c r="G55" s="1">
        <v>8800</v>
      </c>
      <c r="H55" s="1">
        <v>91200</v>
      </c>
    </row>
    <row r="56" spans="1:16" x14ac:dyDescent="0.35">
      <c r="A56" s="1" t="s">
        <v>123</v>
      </c>
      <c r="B56" s="1" t="s">
        <v>124</v>
      </c>
      <c r="C56" s="1" t="s">
        <v>18</v>
      </c>
      <c r="D56" s="1" t="s">
        <v>11</v>
      </c>
      <c r="E56" s="1">
        <v>17</v>
      </c>
      <c r="F56" s="1">
        <v>77</v>
      </c>
      <c r="G56" s="1">
        <v>7700</v>
      </c>
      <c r="H56" s="1">
        <v>102300</v>
      </c>
    </row>
  </sheetData>
  <mergeCells count="6">
    <mergeCell ref="K1:L1"/>
    <mergeCell ref="L37:O37"/>
    <mergeCell ref="L36:P36"/>
    <mergeCell ref="L19:O19"/>
    <mergeCell ref="L11:O11"/>
    <mergeCell ref="L18:Q18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77D9-03B5-417B-87C8-F7660DF017B6}">
  <dimension ref="A1:E15"/>
  <sheetViews>
    <sheetView zoomScale="82" workbookViewId="0">
      <selection activeCell="C16" sqref="C16"/>
    </sheetView>
  </sheetViews>
  <sheetFormatPr defaultRowHeight="14.5" x14ac:dyDescent="0.35"/>
  <cols>
    <col min="1" max="1" width="16.7265625" customWidth="1"/>
    <col min="2" max="2" width="15.81640625" customWidth="1"/>
    <col min="3" max="3" width="18.1796875" customWidth="1"/>
    <col min="4" max="4" width="17.26953125" customWidth="1"/>
    <col min="5" max="5" width="29.81640625" customWidth="1"/>
  </cols>
  <sheetData>
    <row r="1" spans="1:5" x14ac:dyDescent="0.35">
      <c r="A1" s="28" t="s">
        <v>125</v>
      </c>
      <c r="B1" s="29"/>
      <c r="C1" s="29"/>
      <c r="D1" s="29"/>
      <c r="E1" s="30"/>
    </row>
    <row r="2" spans="1:5" x14ac:dyDescent="0.35">
      <c r="A2" s="21" t="s">
        <v>130</v>
      </c>
      <c r="B2" s="22"/>
      <c r="C2" s="22"/>
      <c r="D2" s="23"/>
      <c r="E2" s="2" t="s">
        <v>131</v>
      </c>
    </row>
    <row r="3" spans="1:5" x14ac:dyDescent="0.35">
      <c r="A3" s="3" t="s">
        <v>126</v>
      </c>
      <c r="B3" s="3" t="s">
        <v>127</v>
      </c>
      <c r="C3" s="3" t="s">
        <v>128</v>
      </c>
      <c r="D3" s="3" t="s">
        <v>3</v>
      </c>
      <c r="E3" s="3" t="s">
        <v>129</v>
      </c>
    </row>
    <row r="4" spans="1:5" x14ac:dyDescent="0.35">
      <c r="A4" s="1" t="s">
        <v>27</v>
      </c>
      <c r="B4" s="1"/>
      <c r="C4" s="1"/>
      <c r="D4" s="1"/>
      <c r="E4" s="1"/>
    </row>
    <row r="5" spans="1:5" x14ac:dyDescent="0.35">
      <c r="A5" s="1" t="s">
        <v>37</v>
      </c>
      <c r="B5" s="1"/>
      <c r="C5" s="1"/>
      <c r="D5" s="1"/>
      <c r="E5" s="1"/>
    </row>
    <row r="6" spans="1:5" x14ac:dyDescent="0.35">
      <c r="A6" s="1" t="s">
        <v>39</v>
      </c>
      <c r="B6" s="1"/>
      <c r="C6" s="1"/>
      <c r="D6" s="1"/>
      <c r="E6" s="1"/>
    </row>
    <row r="7" spans="1:5" x14ac:dyDescent="0.35">
      <c r="A7" s="1" t="s">
        <v>65</v>
      </c>
      <c r="B7" s="1"/>
      <c r="C7" s="1"/>
      <c r="D7" s="1"/>
      <c r="E7" s="1"/>
    </row>
    <row r="8" spans="1:5" x14ac:dyDescent="0.35">
      <c r="A8" s="1" t="s">
        <v>75</v>
      </c>
      <c r="B8" s="1"/>
      <c r="C8" s="1"/>
      <c r="D8" s="1"/>
      <c r="E8" s="1"/>
    </row>
    <row r="9" spans="1:5" x14ac:dyDescent="0.35">
      <c r="A9" s="1" t="s">
        <v>81</v>
      </c>
      <c r="B9" s="1"/>
      <c r="C9" s="1"/>
      <c r="D9" s="1"/>
      <c r="E9" s="1"/>
    </row>
    <row r="10" spans="1:5" x14ac:dyDescent="0.35">
      <c r="A10" s="1" t="s">
        <v>99</v>
      </c>
      <c r="B10" s="1"/>
      <c r="C10" s="1"/>
      <c r="D10" s="1"/>
      <c r="E10" s="1"/>
    </row>
    <row r="11" spans="1:5" x14ac:dyDescent="0.35">
      <c r="A11" s="1" t="s">
        <v>103</v>
      </c>
      <c r="B11" s="1"/>
      <c r="C11" s="1"/>
      <c r="D11" s="1"/>
      <c r="E11" s="1"/>
    </row>
    <row r="12" spans="1:5" x14ac:dyDescent="0.35">
      <c r="A12" s="1" t="s">
        <v>111</v>
      </c>
      <c r="B12" s="1"/>
      <c r="C12" s="1"/>
      <c r="D12" s="1"/>
      <c r="E12" s="1"/>
    </row>
    <row r="13" spans="1:5" x14ac:dyDescent="0.35">
      <c r="A13" s="1" t="s">
        <v>117</v>
      </c>
      <c r="B13" s="1"/>
      <c r="C13" s="1"/>
      <c r="D13" s="1"/>
      <c r="E13" s="1"/>
    </row>
    <row r="14" spans="1:5" x14ac:dyDescent="0.35">
      <c r="A14" s="1" t="s">
        <v>119</v>
      </c>
      <c r="B14" s="1"/>
      <c r="C14" s="1"/>
      <c r="D14" s="1"/>
      <c r="E14" s="1"/>
    </row>
    <row r="15" spans="1:5" x14ac:dyDescent="0.35">
      <c r="A15" s="1" t="s">
        <v>121</v>
      </c>
      <c r="B15" s="1"/>
      <c r="C15" s="1"/>
      <c r="D15" s="1"/>
      <c r="E15" s="1"/>
    </row>
  </sheetData>
  <mergeCells count="2">
    <mergeCell ref="A1:E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60D1-6726-42A5-8CDE-C34786588BCA}">
  <dimension ref="A1:O18"/>
  <sheetViews>
    <sheetView zoomScale="71" zoomScaleNormal="100" workbookViewId="0">
      <selection activeCell="G11" sqref="G11"/>
    </sheetView>
  </sheetViews>
  <sheetFormatPr defaultRowHeight="14.5" x14ac:dyDescent="0.35"/>
  <cols>
    <col min="1" max="1" width="16" customWidth="1"/>
    <col min="2" max="3" width="23.453125" customWidth="1"/>
    <col min="4" max="4" width="16" customWidth="1"/>
    <col min="5" max="5" width="15.26953125" bestFit="1" customWidth="1"/>
    <col min="6" max="6" width="10.81640625" bestFit="1" customWidth="1"/>
    <col min="7" max="7" width="13.54296875" customWidth="1"/>
    <col min="8" max="9" width="14.54296875" customWidth="1"/>
    <col min="11" max="11" width="25" customWidth="1"/>
    <col min="12" max="12" width="24.81640625" customWidth="1"/>
    <col min="13" max="13" width="21.1796875" customWidth="1"/>
    <col min="14" max="14" width="12.453125" customWidth="1"/>
    <col min="15" max="15" width="18.7265625" customWidth="1"/>
  </cols>
  <sheetData>
    <row r="1" spans="1:15" ht="15" customHeight="1" x14ac:dyDescent="0.35">
      <c r="A1" s="10" t="s">
        <v>160</v>
      </c>
      <c r="B1" s="10" t="s">
        <v>180</v>
      </c>
      <c r="C1" s="10" t="s">
        <v>138</v>
      </c>
      <c r="D1" s="10" t="s">
        <v>161</v>
      </c>
      <c r="E1" s="10" t="s">
        <v>162</v>
      </c>
      <c r="F1" s="10" t="s">
        <v>139</v>
      </c>
      <c r="I1" s="10" t="s">
        <v>187</v>
      </c>
    </row>
    <row r="2" spans="1:15" ht="15" customHeight="1" x14ac:dyDescent="0.35">
      <c r="A2" s="11" t="s">
        <v>140</v>
      </c>
      <c r="B2" s="11" t="s">
        <v>150</v>
      </c>
      <c r="C2" s="11" t="s">
        <v>156</v>
      </c>
      <c r="D2" s="11" t="s">
        <v>159</v>
      </c>
      <c r="E2" s="12">
        <v>4</v>
      </c>
      <c r="F2" s="11"/>
      <c r="I2" s="11"/>
    </row>
    <row r="3" spans="1:15" ht="15" customHeight="1" x14ac:dyDescent="0.35">
      <c r="A3" s="11" t="s">
        <v>141</v>
      </c>
      <c r="B3" s="11" t="s">
        <v>164</v>
      </c>
      <c r="C3" s="11" t="s">
        <v>157</v>
      </c>
      <c r="D3" s="11" t="s">
        <v>165</v>
      </c>
      <c r="E3" s="12">
        <v>4</v>
      </c>
      <c r="F3" s="11"/>
      <c r="I3" s="11"/>
    </row>
    <row r="4" spans="1:15" ht="15" customHeight="1" x14ac:dyDescent="0.35">
      <c r="A4" s="11" t="s">
        <v>142</v>
      </c>
      <c r="B4" s="11" t="s">
        <v>166</v>
      </c>
      <c r="C4" s="11" t="s">
        <v>158</v>
      </c>
      <c r="D4" s="11" t="s">
        <v>167</v>
      </c>
      <c r="E4" s="12">
        <v>6</v>
      </c>
      <c r="F4" s="11"/>
      <c r="I4" s="11"/>
    </row>
    <row r="5" spans="1:15" ht="15" customHeight="1" x14ac:dyDescent="0.35">
      <c r="A5" s="11" t="s">
        <v>143</v>
      </c>
      <c r="B5" s="11" t="s">
        <v>151</v>
      </c>
      <c r="C5" s="11" t="s">
        <v>156</v>
      </c>
      <c r="D5" s="11" t="s">
        <v>169</v>
      </c>
      <c r="E5" s="12">
        <v>3</v>
      </c>
      <c r="F5" s="11"/>
      <c r="I5" s="11"/>
      <c r="L5" s="10" t="s">
        <v>161</v>
      </c>
      <c r="M5" s="10" t="s">
        <v>180</v>
      </c>
      <c r="N5" s="10" t="s">
        <v>181</v>
      </c>
      <c r="O5" s="10" t="s">
        <v>182</v>
      </c>
    </row>
    <row r="6" spans="1:15" ht="15" customHeight="1" x14ac:dyDescent="0.35">
      <c r="A6" s="11" t="s">
        <v>144</v>
      </c>
      <c r="B6" s="11" t="s">
        <v>152</v>
      </c>
      <c r="C6" s="11" t="s">
        <v>157</v>
      </c>
      <c r="D6" s="11" t="s">
        <v>170</v>
      </c>
      <c r="E6" s="12">
        <v>14</v>
      </c>
      <c r="F6" s="11"/>
      <c r="I6" s="11"/>
      <c r="L6" s="11" t="s">
        <v>173</v>
      </c>
      <c r="M6" s="11" t="s">
        <v>172</v>
      </c>
      <c r="N6" s="11"/>
      <c r="O6" s="11"/>
    </row>
    <row r="7" spans="1:15" ht="15" customHeight="1" x14ac:dyDescent="0.35">
      <c r="A7" s="11" t="s">
        <v>145</v>
      </c>
      <c r="B7" s="11" t="s">
        <v>172</v>
      </c>
      <c r="C7" s="11" t="s">
        <v>158</v>
      </c>
      <c r="D7" s="11" t="s">
        <v>173</v>
      </c>
      <c r="E7" s="12">
        <v>7</v>
      </c>
      <c r="F7" s="11"/>
      <c r="I7" s="11"/>
      <c r="L7" s="11" t="s">
        <v>170</v>
      </c>
      <c r="M7" s="11" t="s">
        <v>152</v>
      </c>
      <c r="N7" s="11"/>
      <c r="O7" s="11"/>
    </row>
    <row r="8" spans="1:15" ht="15" customHeight="1" x14ac:dyDescent="0.35">
      <c r="A8" s="11" t="s">
        <v>146</v>
      </c>
      <c r="B8" s="11" t="s">
        <v>153</v>
      </c>
      <c r="C8" s="11" t="s">
        <v>156</v>
      </c>
      <c r="D8" s="11" t="s">
        <v>174</v>
      </c>
      <c r="E8" s="12">
        <v>1</v>
      </c>
      <c r="F8" s="11"/>
      <c r="I8" s="11"/>
      <c r="L8" s="11" t="s">
        <v>167</v>
      </c>
      <c r="M8" s="11" t="s">
        <v>166</v>
      </c>
      <c r="N8" s="11"/>
      <c r="O8" s="11"/>
    </row>
    <row r="9" spans="1:15" ht="15" customHeight="1" x14ac:dyDescent="0.35">
      <c r="A9" s="11" t="s">
        <v>147</v>
      </c>
      <c r="B9" s="11" t="s">
        <v>175</v>
      </c>
      <c r="C9" s="11" t="s">
        <v>157</v>
      </c>
      <c r="D9" s="11" t="s">
        <v>176</v>
      </c>
      <c r="E9" s="12">
        <v>8</v>
      </c>
      <c r="F9" s="11"/>
      <c r="I9" s="11"/>
      <c r="L9" s="11" t="s">
        <v>177</v>
      </c>
      <c r="M9" s="11" t="s">
        <v>154</v>
      </c>
      <c r="N9" s="11"/>
      <c r="O9" s="11"/>
    </row>
    <row r="10" spans="1:15" ht="15" customHeight="1" x14ac:dyDescent="0.35">
      <c r="A10" s="11" t="s">
        <v>148</v>
      </c>
      <c r="B10" s="11" t="s">
        <v>154</v>
      </c>
      <c r="C10" s="11" t="s">
        <v>158</v>
      </c>
      <c r="D10" s="11" t="s">
        <v>177</v>
      </c>
      <c r="E10" s="12">
        <v>10</v>
      </c>
      <c r="F10" s="11"/>
      <c r="I10" s="11"/>
      <c r="L10" s="11" t="s">
        <v>165</v>
      </c>
      <c r="M10" s="11" t="s">
        <v>164</v>
      </c>
      <c r="N10" s="11"/>
      <c r="O10" s="11"/>
    </row>
    <row r="11" spans="1:15" ht="15" customHeight="1" x14ac:dyDescent="0.35">
      <c r="A11" s="11" t="s">
        <v>149</v>
      </c>
      <c r="B11" s="11" t="s">
        <v>155</v>
      </c>
      <c r="C11" s="11" t="s">
        <v>156</v>
      </c>
      <c r="D11" s="11" t="s">
        <v>178</v>
      </c>
      <c r="E11" s="12">
        <v>9</v>
      </c>
      <c r="F11" s="11"/>
      <c r="I11" s="11"/>
      <c r="L11" s="11" t="s">
        <v>174</v>
      </c>
      <c r="M11" s="11" t="s">
        <v>153</v>
      </c>
      <c r="N11" s="11"/>
      <c r="O11" s="11"/>
    </row>
    <row r="12" spans="1:15" x14ac:dyDescent="0.35">
      <c r="L12" s="9"/>
      <c r="M12" s="9"/>
      <c r="N12" s="9"/>
      <c r="O12" s="9"/>
    </row>
    <row r="13" spans="1:15" ht="15" customHeight="1" x14ac:dyDescent="0.35">
      <c r="L13" s="9"/>
      <c r="M13" s="9"/>
    </row>
    <row r="14" spans="1:15" x14ac:dyDescent="0.35">
      <c r="H14" t="s">
        <v>188</v>
      </c>
    </row>
    <row r="15" spans="1:15" ht="15" customHeight="1" x14ac:dyDescent="0.35">
      <c r="H15" t="s">
        <v>189</v>
      </c>
    </row>
    <row r="16" spans="1:15" ht="15" customHeight="1" x14ac:dyDescent="0.35">
      <c r="A16" s="31" t="s">
        <v>179</v>
      </c>
      <c r="B16" s="32"/>
      <c r="C16" s="16"/>
      <c r="D16" s="13">
        <v>3</v>
      </c>
      <c r="E16" s="13">
        <v>6</v>
      </c>
      <c r="F16" s="13">
        <v>10</v>
      </c>
    </row>
    <row r="17" spans="1:10" ht="15" customHeight="1" x14ac:dyDescent="0.35">
      <c r="A17" s="31" t="s">
        <v>139</v>
      </c>
      <c r="B17" s="32"/>
      <c r="C17" s="16"/>
      <c r="D17" s="13" t="s">
        <v>163</v>
      </c>
      <c r="E17" s="13" t="s">
        <v>168</v>
      </c>
      <c r="F17" s="13" t="s">
        <v>171</v>
      </c>
      <c r="H17" s="17" t="s">
        <v>190</v>
      </c>
      <c r="I17" s="17"/>
    </row>
    <row r="18" spans="1:10" ht="15" customHeight="1" x14ac:dyDescent="0.35">
      <c r="J18" t="s">
        <v>193</v>
      </c>
    </row>
  </sheetData>
  <mergeCells count="2">
    <mergeCell ref="A16:B16"/>
    <mergeCell ref="A17:B17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��� � � � 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��� � 
</file>

<file path=customXml/item14.xml>��
</file>

<file path=customXml/item15.xml>��
</file>

<file path=customXml/item16.xml>��� � � � 
</file>

<file path=customXml/item17.xml>��
</file>

<file path=customXml/itemProps1.xml><?xml version="1.0" encoding="utf-8"?>
<ds:datastoreItem xmlns:ds="http://schemas.openxmlformats.org/officeDocument/2006/customXml" ds:itemID="{70F0C772-5B32-4DA3-A427-C600E26E38A5}">
  <ds:schemaRefs/>
</ds:datastoreItem>
</file>

<file path=customXml/itemProps2.xml><?xml version="1.0" encoding="utf-8"?>
<ds:datastoreItem xmlns:ds="http://schemas.openxmlformats.org/officeDocument/2006/customXml" ds:itemID="{1633F8E9-1FB7-43AA-8CA0-D865F3EFC6D6}">
  <ds:schemaRefs/>
</ds:datastoreItem>
</file>

<file path=customXml/itemProps3.xml><?xml version="1.0" encoding="utf-8"?>
<ds:datastoreItem xmlns:ds="http://schemas.openxmlformats.org/officeDocument/2006/customXml" ds:itemID="{C78CF573-E09B-4C56-ADD8-A45F693EDA4A}">
  <ds:schemaRefs/>
</ds:datastoreItem>
</file>

<file path=customXml/itemProps4.xml><?xml version="1.0" encoding="utf-8"?>
<ds:datastoreItem xmlns:ds="http://schemas.openxmlformats.org/officeDocument/2006/customXml" ds:itemID="{1E11AA22-DCFE-44CC-9776-8CCEE9055044}">
  <ds:schemaRefs/>
</ds:datastoreItem>
</file>

<file path=customXml/itemProps5.xml><?xml version="1.0" encoding="utf-8"?>
<ds:datastoreItem xmlns:ds="http://schemas.openxmlformats.org/officeDocument/2006/customXml" ds:itemID="{90457701-5A98-4030-A754-03F0A9CBCEF2}">
  <ds:schemaRefs/>
</ds:datastoreItem>
</file>

<file path=customXml/itemProps6.xml><?xml version="1.0" encoding="utf-8"?>
<ds:datastoreItem xmlns:ds="http://schemas.openxmlformats.org/officeDocument/2006/customXml" ds:itemID="{EFD6E44B-A471-4276-A65F-54D462C10FB8}">
  <ds:schemaRefs/>
</ds:datastoreItem>
</file>

<file path=customXml/itemProps7.xml><?xml version="1.0" encoding="utf-8"?>
<ds:datastoreItem xmlns:ds="http://schemas.openxmlformats.org/officeDocument/2006/customXml" ds:itemID="{C68E32C1-6EF5-4BB7-BB69-355510431946}">
  <ds:schemaRefs/>
</ds:datastoreItem>
</file>

<file path=customXml/itemProps8.xml><?xml version="1.0" encoding="utf-8"?>
<ds:datastoreItem xmlns:ds="http://schemas.openxmlformats.org/officeDocument/2006/customXml" ds:itemID="{53198F6E-0DFB-4E6B-972A-957974D5B910}">
  <ds:schemaRefs/>
</ds:datastoreItem>
</file>

<file path=customXml/itemProps9.xml><?xml version="1.0" encoding="utf-8"?>
<ds:datastoreItem xmlns:ds="http://schemas.openxmlformats.org/officeDocument/2006/customXml" ds:itemID="{EBADA1E7-1E80-4FB7-9D8A-D95D787512D8}">
  <ds:schemaRefs/>
</ds:datastoreItem>
</file>

<file path=customXml/itemProps10.xml><?xml version="1.0" encoding="utf-8"?>
<ds:datastoreItem xmlns:ds="http://schemas.openxmlformats.org/officeDocument/2006/customXml" ds:itemID="{FA571885-0A96-4964-8C93-9C23737E6BA9}">
  <ds:schemaRefs/>
</ds:datastoreItem>
</file>

<file path=customXml/itemProps11.xml><?xml version="1.0" encoding="utf-8"?>
<ds:datastoreItem xmlns:ds="http://schemas.openxmlformats.org/officeDocument/2006/customXml" ds:itemID="{EF89FEE2-E2A8-4FFA-956B-393A77B9E4E9}">
  <ds:schemaRefs/>
</ds:datastoreItem>
</file>

<file path=customXml/itemProps12.xml><?xml version="1.0" encoding="utf-8"?>
<ds:datastoreItem xmlns:ds="http://schemas.openxmlformats.org/officeDocument/2006/customXml" ds:itemID="{982D903F-3048-4976-B610-F73C16464A42}">
  <ds:schemaRefs/>
</ds:datastoreItem>
</file>

<file path=customXml/itemProps13.xml><?xml version="1.0" encoding="utf-8"?>
<ds:datastoreItem xmlns:ds="http://schemas.openxmlformats.org/officeDocument/2006/customXml" ds:itemID="{DE4E6BBE-0DB3-47C5-A53B-D134A4322C9C}">
  <ds:schemaRefs/>
</ds:datastoreItem>
</file>

<file path=customXml/itemProps14.xml><?xml version="1.0" encoding="utf-8"?>
<ds:datastoreItem xmlns:ds="http://schemas.openxmlformats.org/officeDocument/2006/customXml" ds:itemID="{D12650DB-2620-4BFA-8CF9-9ED0993C4F17}">
  <ds:schemaRefs/>
</ds:datastoreItem>
</file>

<file path=customXml/itemProps15.xml><?xml version="1.0" encoding="utf-8"?>
<ds:datastoreItem xmlns:ds="http://schemas.openxmlformats.org/officeDocument/2006/customXml" ds:itemID="{22CDA750-FC1B-4217-8E62-6588B4624E0F}">
  <ds:schemaRefs/>
</ds:datastoreItem>
</file>

<file path=customXml/itemProps16.xml><?xml version="1.0" encoding="utf-8"?>
<ds:datastoreItem xmlns:ds="http://schemas.openxmlformats.org/officeDocument/2006/customXml" ds:itemID="{53888B04-E24A-40E2-9CDA-688BEAB6EF32}">
  <ds:schemaRefs/>
</ds:datastoreItem>
</file>

<file path=customXml/itemProps17.xml><?xml version="1.0" encoding="utf-8"?>
<ds:datastoreItem xmlns:ds="http://schemas.openxmlformats.org/officeDocument/2006/customXml" ds:itemID="{B3435028-5502-4609-8F2D-F2499434D7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  </vt:lpstr>
      <vt:lpstr>Sheet 2 + Fee</vt:lpstr>
      <vt:lpstr>Medical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Delmon</dc:creator>
  <cp:lastModifiedBy>Joseph  Delmon</cp:lastModifiedBy>
  <dcterms:created xsi:type="dcterms:W3CDTF">2025-06-03T13:10:04Z</dcterms:created>
  <dcterms:modified xsi:type="dcterms:W3CDTF">2025-12-06T16:09:29Z</dcterms:modified>
</cp:coreProperties>
</file>